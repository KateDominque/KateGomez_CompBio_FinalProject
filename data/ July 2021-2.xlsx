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katedominque/Desktop/Larvae hybrid counts /Hybrids 2025/"/>
    </mc:Choice>
  </mc:AlternateContent>
  <xr:revisionPtr revIDLastSave="0" documentId="13_ncr:1_{16443412-415A-5A41-8299-28C0C7843734}" xr6:coauthVersionLast="47" xr6:coauthVersionMax="47" xr10:uidLastSave="{00000000-0000-0000-0000-000000000000}"/>
  <bookViews>
    <workbookView xWindow="0" yWindow="780" windowWidth="34200" windowHeight="21360" xr2:uid="{8A7BCDC6-F408-6E47-BA9A-4FA7A5A37C61}"/>
  </bookViews>
  <sheets>
    <sheet name="7.13.21 (67)" sheetId="1" r:id="rId1"/>
    <sheet name="7.28.21 (48)" sheetId="2" r:id="rId2"/>
    <sheet name="Materials and method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3" i="2" l="1"/>
  <c r="E137" i="2"/>
  <c r="D122" i="2"/>
  <c r="E110" i="2"/>
  <c r="D110" i="2"/>
  <c r="E104" i="2"/>
  <c r="D104" i="2"/>
  <c r="E86" i="2"/>
  <c r="D86" i="2"/>
  <c r="D56" i="2"/>
  <c r="E56" i="2"/>
  <c r="D59" i="2"/>
  <c r="E59" i="2"/>
  <c r="D62" i="2"/>
  <c r="E62" i="2"/>
  <c r="D65" i="2"/>
  <c r="E65" i="2"/>
  <c r="D68" i="2"/>
  <c r="E68" i="2"/>
  <c r="D71" i="2"/>
  <c r="E71" i="2"/>
  <c r="D74" i="2"/>
  <c r="E74" i="2"/>
  <c r="D77" i="2"/>
  <c r="E77" i="2"/>
  <c r="D80" i="2"/>
  <c r="E80" i="2"/>
  <c r="D83" i="2"/>
  <c r="E83" i="2"/>
  <c r="D89" i="2"/>
  <c r="E89" i="2"/>
  <c r="D92" i="2"/>
  <c r="E92" i="2"/>
  <c r="D95" i="2"/>
  <c r="E95" i="2"/>
  <c r="D98" i="2"/>
  <c r="E98" i="2"/>
  <c r="D101" i="2"/>
  <c r="E101" i="2"/>
  <c r="D113" i="2"/>
  <c r="E113" i="2"/>
  <c r="D116" i="2"/>
  <c r="E116" i="2"/>
  <c r="D119" i="2"/>
  <c r="E119" i="2"/>
  <c r="E122" i="2"/>
  <c r="D125" i="2"/>
  <c r="E125" i="2"/>
  <c r="D128" i="2"/>
  <c r="E128" i="2"/>
  <c r="D131" i="2"/>
  <c r="E131" i="2"/>
  <c r="D134" i="2"/>
  <c r="E134" i="2"/>
  <c r="D137" i="2"/>
  <c r="D140" i="2"/>
  <c r="E140" i="2"/>
  <c r="D143" i="2"/>
  <c r="D146" i="2"/>
  <c r="E146" i="2"/>
  <c r="D149" i="2"/>
  <c r="E149" i="2"/>
  <c r="D152" i="2"/>
  <c r="E152" i="2"/>
  <c r="D155" i="2"/>
  <c r="E155" i="2"/>
  <c r="E53" i="2"/>
  <c r="D53" i="2"/>
  <c r="E50" i="2"/>
  <c r="D50" i="2"/>
  <c r="E47" i="2"/>
  <c r="D47" i="2"/>
  <c r="E41" i="2"/>
  <c r="D41" i="2"/>
  <c r="E38" i="2"/>
  <c r="D38" i="2"/>
  <c r="E35" i="2"/>
  <c r="D35" i="2"/>
  <c r="D23" i="2"/>
  <c r="E18" i="2"/>
  <c r="D18" i="2"/>
  <c r="E32" i="2"/>
  <c r="D32" i="2"/>
  <c r="E29" i="2"/>
  <c r="D29" i="2"/>
  <c r="E26" i="2"/>
  <c r="D26" i="2"/>
  <c r="E23" i="2"/>
  <c r="E15" i="2"/>
  <c r="D15" i="2"/>
  <c r="E12" i="2"/>
  <c r="D12" i="2"/>
  <c r="E9" i="2"/>
  <c r="D9" i="2"/>
  <c r="E6" i="2"/>
  <c r="D6" i="2"/>
  <c r="E3" i="2"/>
  <c r="D3" i="2"/>
  <c r="L41" i="1"/>
  <c r="K41" i="1"/>
  <c r="M41" i="1" s="1"/>
  <c r="L40" i="1"/>
  <c r="K40" i="1"/>
  <c r="M40" i="1" s="1"/>
  <c r="L39" i="1"/>
  <c r="K39" i="1"/>
  <c r="M39" i="1" s="1"/>
  <c r="K109" i="2"/>
  <c r="J109" i="2"/>
  <c r="L109" i="2" s="1"/>
  <c r="K108" i="2"/>
  <c r="J108" i="2"/>
  <c r="L108" i="2" s="1"/>
  <c r="K107" i="2"/>
  <c r="J107" i="2"/>
  <c r="L107" i="2" s="1"/>
  <c r="K103" i="2"/>
  <c r="J103" i="2"/>
  <c r="L103" i="2" s="1"/>
  <c r="K102" i="2"/>
  <c r="J102" i="2"/>
  <c r="L102" i="2" s="1"/>
  <c r="K101" i="2"/>
  <c r="J101" i="2"/>
  <c r="L101" i="2" s="1"/>
  <c r="K46" i="2"/>
  <c r="J46" i="2"/>
  <c r="L46" i="2" s="1"/>
  <c r="K45" i="2"/>
  <c r="J45" i="2"/>
  <c r="L45" i="2" s="1"/>
  <c r="K44" i="2"/>
  <c r="J44" i="2"/>
  <c r="L44" i="2" s="1"/>
  <c r="J37" i="2"/>
  <c r="L37" i="2" s="1"/>
  <c r="J40" i="2"/>
  <c r="L40" i="2" s="1"/>
  <c r="J41" i="2"/>
  <c r="L41" i="2" s="1"/>
  <c r="J42" i="2"/>
  <c r="L42" i="2" s="1"/>
  <c r="J43" i="2"/>
  <c r="L43" i="2" s="1"/>
  <c r="J47" i="2"/>
  <c r="L47" i="2" s="1"/>
  <c r="J48" i="2"/>
  <c r="L48" i="2" s="1"/>
  <c r="J49" i="2"/>
  <c r="L49" i="2" s="1"/>
  <c r="J50" i="2"/>
  <c r="L50" i="2" s="1"/>
  <c r="J51" i="2"/>
  <c r="J52" i="2"/>
  <c r="J53" i="2"/>
  <c r="L53" i="2" s="1"/>
  <c r="J54" i="2"/>
  <c r="L54" i="2" s="1"/>
  <c r="J55" i="2"/>
  <c r="L55" i="2" s="1"/>
  <c r="J56" i="2"/>
  <c r="L56" i="2" s="1"/>
  <c r="J57" i="2"/>
  <c r="L57" i="2" s="1"/>
  <c r="J58" i="2"/>
  <c r="L58" i="2" s="1"/>
  <c r="J59" i="2"/>
  <c r="L59" i="2" s="1"/>
  <c r="J60" i="2"/>
  <c r="L60" i="2" s="1"/>
  <c r="J61" i="2"/>
  <c r="J62" i="2"/>
  <c r="L62" i="2" s="1"/>
  <c r="J63" i="2"/>
  <c r="L63" i="2" s="1"/>
  <c r="J64" i="2"/>
  <c r="L64" i="2" s="1"/>
  <c r="J65" i="2"/>
  <c r="L65" i="2" s="1"/>
  <c r="J66" i="2"/>
  <c r="L66" i="2" s="1"/>
  <c r="J67" i="2"/>
  <c r="L67" i="2" s="1"/>
  <c r="J68" i="2"/>
  <c r="J69" i="2"/>
  <c r="L69" i="2" s="1"/>
  <c r="J70" i="2"/>
  <c r="L70" i="2" s="1"/>
  <c r="J71" i="2"/>
  <c r="J72" i="2"/>
  <c r="L72" i="2" s="1"/>
  <c r="J73" i="2"/>
  <c r="L73" i="2" s="1"/>
  <c r="J74" i="2"/>
  <c r="L74" i="2" s="1"/>
  <c r="J75" i="2"/>
  <c r="L75" i="2" s="1"/>
  <c r="J76" i="2"/>
  <c r="J77" i="2"/>
  <c r="L77" i="2" s="1"/>
  <c r="J78" i="2"/>
  <c r="L78" i="2" s="1"/>
  <c r="J79" i="2"/>
  <c r="L79" i="2" s="1"/>
  <c r="J80" i="2"/>
  <c r="L80" i="2" s="1"/>
  <c r="J81" i="2"/>
  <c r="L81" i="2" s="1"/>
  <c r="J82" i="2"/>
  <c r="L82" i="2" s="1"/>
  <c r="J83" i="2"/>
  <c r="J84" i="2"/>
  <c r="J85" i="2"/>
  <c r="J86" i="2"/>
  <c r="L86" i="2" s="1"/>
  <c r="J87" i="2"/>
  <c r="J88" i="2"/>
  <c r="L88" i="2" s="1"/>
  <c r="J89" i="2"/>
  <c r="L89" i="2" s="1"/>
  <c r="J90" i="2"/>
  <c r="L90" i="2" s="1"/>
  <c r="J91" i="2"/>
  <c r="L91" i="2" s="1"/>
  <c r="J92" i="2"/>
  <c r="J93" i="2"/>
  <c r="L93" i="2" s="1"/>
  <c r="J94" i="2"/>
  <c r="L94" i="2" s="1"/>
  <c r="J95" i="2"/>
  <c r="L95" i="2" s="1"/>
  <c r="J96" i="2"/>
  <c r="L96" i="2" s="1"/>
  <c r="J97" i="2"/>
  <c r="L97" i="2" s="1"/>
  <c r="J98" i="2"/>
  <c r="L98" i="2" s="1"/>
  <c r="J99" i="2"/>
  <c r="L99" i="2" s="1"/>
  <c r="J100" i="2"/>
  <c r="L100" i="2" s="1"/>
  <c r="J104" i="2"/>
  <c r="L104" i="2" s="1"/>
  <c r="J105" i="2"/>
  <c r="L105" i="2" s="1"/>
  <c r="J106" i="2"/>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29" i="2"/>
  <c r="L29" i="2" s="1"/>
  <c r="J30" i="2"/>
  <c r="L30" i="2" s="1"/>
  <c r="K29" i="2"/>
  <c r="K30" i="2"/>
  <c r="J4" i="2"/>
  <c r="J5" i="2"/>
  <c r="L5" i="2" s="1"/>
  <c r="J6" i="2"/>
  <c r="L6" i="2" s="1"/>
  <c r="J7" i="2"/>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J21" i="2"/>
  <c r="L21" i="2" s="1"/>
  <c r="J22" i="2"/>
  <c r="L22" i="2" s="1"/>
  <c r="J23" i="2"/>
  <c r="L23" i="2" s="1"/>
  <c r="J24" i="2"/>
  <c r="L24" i="2" s="1"/>
  <c r="J25" i="2"/>
  <c r="L25" i="2" s="1"/>
  <c r="J26" i="2"/>
  <c r="L26" i="2" s="1"/>
  <c r="J27" i="2"/>
  <c r="L27" i="2" s="1"/>
  <c r="J28" i="2"/>
  <c r="L28" i="2" s="1"/>
  <c r="J31" i="2"/>
  <c r="L31" i="2" s="1"/>
  <c r="J32" i="2"/>
  <c r="L32" i="2" s="1"/>
  <c r="J33" i="2"/>
  <c r="L33" i="2" s="1"/>
  <c r="J34" i="2"/>
  <c r="L34" i="2" s="1"/>
  <c r="J35" i="2"/>
  <c r="L35" i="2" s="1"/>
  <c r="J36" i="2"/>
  <c r="L36" i="2" s="1"/>
  <c r="J38" i="2"/>
  <c r="L38" i="2" s="1"/>
  <c r="J39" i="2"/>
  <c r="L39" i="2" s="1"/>
  <c r="L61" i="2"/>
  <c r="J3" i="2"/>
  <c r="L3" i="2" s="1"/>
  <c r="L4" i="2"/>
  <c r="L7" i="2"/>
  <c r="L20" i="2"/>
  <c r="L51" i="2"/>
  <c r="L52" i="2"/>
  <c r="L68" i="2"/>
  <c r="L71" i="2"/>
  <c r="L76" i="2"/>
  <c r="L83" i="2"/>
  <c r="L84" i="2"/>
  <c r="L85" i="2"/>
  <c r="L87" i="2"/>
  <c r="L92" i="2"/>
  <c r="L106" i="2"/>
  <c r="K4" i="2"/>
  <c r="K5" i="2"/>
  <c r="K6" i="2"/>
  <c r="K7" i="2"/>
  <c r="K8" i="2"/>
  <c r="K9" i="2"/>
  <c r="K10" i="2"/>
  <c r="K11" i="2"/>
  <c r="K12" i="2"/>
  <c r="K13" i="2"/>
  <c r="K14" i="2"/>
  <c r="K15" i="2"/>
  <c r="K16" i="2"/>
  <c r="K17" i="2"/>
  <c r="K18" i="2"/>
  <c r="K19" i="2"/>
  <c r="K20" i="2"/>
  <c r="K21" i="2"/>
  <c r="K22" i="2"/>
  <c r="K23" i="2"/>
  <c r="K24" i="2"/>
  <c r="K25" i="2"/>
  <c r="K26" i="2"/>
  <c r="K27" i="2"/>
  <c r="K28" i="2"/>
  <c r="K31" i="2"/>
  <c r="K32" i="2"/>
  <c r="K33" i="2"/>
  <c r="K34" i="2"/>
  <c r="K35" i="2"/>
  <c r="K36" i="2"/>
  <c r="K37" i="2"/>
  <c r="K38" i="2"/>
  <c r="K39" i="2"/>
  <c r="K40" i="2"/>
  <c r="K41" i="2"/>
  <c r="K42" i="2"/>
  <c r="K43"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4" i="2"/>
  <c r="K105" i="2"/>
  <c r="K106"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3" i="2"/>
  <c r="L4" i="1"/>
  <c r="L5" i="1"/>
  <c r="L6" i="1"/>
  <c r="L7" i="1"/>
  <c r="L8" i="1"/>
  <c r="L9" i="1"/>
  <c r="L10" i="1"/>
  <c r="L11" i="1"/>
  <c r="L12" i="1"/>
  <c r="E12" i="1" s="1"/>
  <c r="L13" i="1"/>
  <c r="L14" i="1"/>
  <c r="L15" i="1"/>
  <c r="L16" i="1"/>
  <c r="L17" i="1"/>
  <c r="L18" i="1"/>
  <c r="L19" i="1"/>
  <c r="L20" i="1"/>
  <c r="L21" i="1"/>
  <c r="L22" i="1"/>
  <c r="L23" i="1"/>
  <c r="L24" i="1"/>
  <c r="L25" i="1"/>
  <c r="L26" i="1"/>
  <c r="L27" i="1"/>
  <c r="E27" i="1" s="1"/>
  <c r="L28" i="1"/>
  <c r="L29" i="1"/>
  <c r="L30" i="1"/>
  <c r="L31" i="1"/>
  <c r="L32" i="1"/>
  <c r="L33" i="1"/>
  <c r="L34" i="1"/>
  <c r="L35" i="1"/>
  <c r="L36" i="1"/>
  <c r="E36" i="1" s="1"/>
  <c r="L37" i="1"/>
  <c r="L38" i="1"/>
  <c r="L42" i="1"/>
  <c r="L43" i="1"/>
  <c r="L44" i="1"/>
  <c r="L45" i="1"/>
  <c r="L46" i="1"/>
  <c r="L47" i="1"/>
  <c r="L48" i="1"/>
  <c r="L49" i="1"/>
  <c r="L50" i="1"/>
  <c r="L51" i="1"/>
  <c r="L52" i="1"/>
  <c r="L53" i="1"/>
  <c r="L54" i="1"/>
  <c r="E54" i="1" s="1"/>
  <c r="L55" i="1"/>
  <c r="L56" i="1"/>
  <c r="L57" i="1"/>
  <c r="L58" i="1"/>
  <c r="L59" i="1"/>
  <c r="L60" i="1"/>
  <c r="L61" i="1"/>
  <c r="L62" i="1"/>
  <c r="L63" i="1"/>
  <c r="E63" i="1" s="1"/>
  <c r="L64" i="1"/>
  <c r="L65" i="1"/>
  <c r="L66" i="1"/>
  <c r="L67" i="1"/>
  <c r="L68" i="1"/>
  <c r="L69" i="1"/>
  <c r="L70" i="1"/>
  <c r="L71" i="1"/>
  <c r="L72" i="1"/>
  <c r="E72" i="1" s="1"/>
  <c r="L73" i="1"/>
  <c r="L74" i="1"/>
  <c r="L75" i="1"/>
  <c r="L76" i="1"/>
  <c r="L77" i="1"/>
  <c r="L78" i="1"/>
  <c r="E78" i="1" s="1"/>
  <c r="L79" i="1"/>
  <c r="L80" i="1"/>
  <c r="L81" i="1"/>
  <c r="L82" i="1"/>
  <c r="L83" i="1"/>
  <c r="L84" i="1"/>
  <c r="L85" i="1"/>
  <c r="L86" i="1"/>
  <c r="L87" i="1"/>
  <c r="E87" i="1" s="1"/>
  <c r="L88" i="1"/>
  <c r="L89" i="1"/>
  <c r="L90" i="1"/>
  <c r="L91" i="1"/>
  <c r="L92" i="1"/>
  <c r="L93" i="1"/>
  <c r="L94" i="1"/>
  <c r="L95" i="1"/>
  <c r="L96" i="1"/>
  <c r="E96" i="1" s="1"/>
  <c r="L97" i="1"/>
  <c r="L98" i="1"/>
  <c r="L99" i="1"/>
  <c r="L100" i="1"/>
  <c r="L101" i="1"/>
  <c r="L102" i="1"/>
  <c r="E102" i="1" s="1"/>
  <c r="L103" i="1"/>
  <c r="L104" i="1"/>
  <c r="L105" i="1"/>
  <c r="L106" i="1"/>
  <c r="L107" i="1"/>
  <c r="L108" i="1"/>
  <c r="L109" i="1"/>
  <c r="L110" i="1"/>
  <c r="L111" i="1"/>
  <c r="E111" i="1" s="1"/>
  <c r="L112" i="1"/>
  <c r="L113" i="1"/>
  <c r="L114" i="1"/>
  <c r="L115" i="1"/>
  <c r="L116" i="1"/>
  <c r="L117" i="1"/>
  <c r="L118" i="1"/>
  <c r="L119" i="1"/>
  <c r="L120" i="1"/>
  <c r="L121" i="1"/>
  <c r="L122" i="1"/>
  <c r="L123" i="1"/>
  <c r="L124" i="1"/>
  <c r="L125" i="1"/>
  <c r="L126" i="1"/>
  <c r="E126" i="1" s="1"/>
  <c r="L127" i="1"/>
  <c r="L128" i="1"/>
  <c r="L129" i="1"/>
  <c r="L130" i="1"/>
  <c r="L131" i="1"/>
  <c r="L132" i="1"/>
  <c r="L133" i="1"/>
  <c r="L134" i="1"/>
  <c r="L135" i="1"/>
  <c r="E135" i="1" s="1"/>
  <c r="L136" i="1"/>
  <c r="L137" i="1"/>
  <c r="L138" i="1"/>
  <c r="L139" i="1"/>
  <c r="L140" i="1"/>
  <c r="L141" i="1"/>
  <c r="L142" i="1"/>
  <c r="L143" i="1"/>
  <c r="L144" i="1"/>
  <c r="E144" i="1" s="1"/>
  <c r="L145" i="1"/>
  <c r="L146" i="1"/>
  <c r="L147" i="1"/>
  <c r="L148" i="1"/>
  <c r="L149" i="1"/>
  <c r="L150" i="1"/>
  <c r="E150" i="1" s="1"/>
  <c r="L151" i="1"/>
  <c r="L152" i="1"/>
  <c r="L153" i="1"/>
  <c r="L154" i="1"/>
  <c r="L155" i="1"/>
  <c r="L156" i="1"/>
  <c r="L157" i="1"/>
  <c r="L158" i="1"/>
  <c r="L159" i="1"/>
  <c r="E159" i="1" s="1"/>
  <c r="L160" i="1"/>
  <c r="L161" i="1"/>
  <c r="L162" i="1"/>
  <c r="L163" i="1"/>
  <c r="L164" i="1"/>
  <c r="L165" i="1"/>
  <c r="L166" i="1"/>
  <c r="L167" i="1"/>
  <c r="L168" i="1"/>
  <c r="E168" i="1" s="1"/>
  <c r="L169" i="1"/>
  <c r="L170" i="1"/>
  <c r="L171" i="1"/>
  <c r="L172" i="1"/>
  <c r="L173" i="1"/>
  <c r="L174" i="1"/>
  <c r="E174" i="1" s="1"/>
  <c r="L175" i="1"/>
  <c r="L176" i="1"/>
  <c r="L177" i="1"/>
  <c r="L178" i="1"/>
  <c r="L179" i="1"/>
  <c r="L180" i="1"/>
  <c r="L181" i="1"/>
  <c r="L182" i="1"/>
  <c r="L183" i="1"/>
  <c r="E183" i="1" s="1"/>
  <c r="L184" i="1"/>
  <c r="L185" i="1"/>
  <c r="L186" i="1"/>
  <c r="L187" i="1"/>
  <c r="L188" i="1"/>
  <c r="L189" i="1"/>
  <c r="L190" i="1"/>
  <c r="L191" i="1"/>
  <c r="L192" i="1"/>
  <c r="E192" i="1" s="1"/>
  <c r="L193" i="1"/>
  <c r="L194" i="1"/>
  <c r="L195" i="1"/>
  <c r="L196" i="1"/>
  <c r="L197" i="1"/>
  <c r="L198" i="1"/>
  <c r="E198" i="1" s="1"/>
  <c r="L199" i="1"/>
  <c r="L200" i="1"/>
  <c r="L201" i="1"/>
  <c r="L202" i="1"/>
  <c r="L203" i="1"/>
  <c r="L204" i="1"/>
  <c r="L205" i="1"/>
  <c r="L206" i="1"/>
  <c r="L3" i="1"/>
  <c r="E3" i="1" s="1"/>
  <c r="K199" i="1"/>
  <c r="M199" i="1" s="1"/>
  <c r="K121" i="1"/>
  <c r="M121" i="1" s="1"/>
  <c r="K4" i="1"/>
  <c r="M4" i="1" s="1"/>
  <c r="K5" i="1"/>
  <c r="M5" i="1" s="1"/>
  <c r="K6" i="1"/>
  <c r="M6" i="1" s="1"/>
  <c r="K7" i="1"/>
  <c r="M7" i="1" s="1"/>
  <c r="K8" i="1"/>
  <c r="M8" i="1" s="1"/>
  <c r="K9" i="1"/>
  <c r="M9" i="1" s="1"/>
  <c r="F9" i="1" s="1"/>
  <c r="K10" i="1"/>
  <c r="M10" i="1" s="1"/>
  <c r="K11" i="1"/>
  <c r="M11" i="1" s="1"/>
  <c r="K12" i="1"/>
  <c r="M12" i="1" s="1"/>
  <c r="K13" i="1"/>
  <c r="M13" i="1" s="1"/>
  <c r="K14" i="1"/>
  <c r="M14" i="1" s="1"/>
  <c r="K15" i="1"/>
  <c r="M15" i="1" s="1"/>
  <c r="K16" i="1"/>
  <c r="M16" i="1" s="1"/>
  <c r="K17" i="1"/>
  <c r="M17" i="1" s="1"/>
  <c r="K18" i="1"/>
  <c r="M18" i="1" s="1"/>
  <c r="F18" i="1" s="1"/>
  <c r="K19" i="1"/>
  <c r="M19" i="1" s="1"/>
  <c r="K20" i="1"/>
  <c r="M20" i="1" s="1"/>
  <c r="K21" i="1"/>
  <c r="M21" i="1" s="1"/>
  <c r="K22" i="1"/>
  <c r="M22" i="1" s="1"/>
  <c r="K23" i="1"/>
  <c r="M23" i="1" s="1"/>
  <c r="K24" i="1"/>
  <c r="M24" i="1" s="1"/>
  <c r="F24" i="1" s="1"/>
  <c r="K25" i="1"/>
  <c r="M25" i="1" s="1"/>
  <c r="K26" i="1"/>
  <c r="M26" i="1" s="1"/>
  <c r="K27" i="1"/>
  <c r="M27" i="1" s="1"/>
  <c r="K28" i="1"/>
  <c r="M28" i="1" s="1"/>
  <c r="K29" i="1"/>
  <c r="M29" i="1" s="1"/>
  <c r="K30" i="1"/>
  <c r="M30" i="1" s="1"/>
  <c r="K31" i="1"/>
  <c r="M31" i="1" s="1"/>
  <c r="K32" i="1"/>
  <c r="M32" i="1" s="1"/>
  <c r="K33" i="1"/>
  <c r="M33" i="1" s="1"/>
  <c r="F33" i="1" s="1"/>
  <c r="K34" i="1"/>
  <c r="M34" i="1" s="1"/>
  <c r="K35" i="1"/>
  <c r="M35" i="1" s="1"/>
  <c r="K36" i="1"/>
  <c r="M36" i="1" s="1"/>
  <c r="K37" i="1"/>
  <c r="M37" i="1" s="1"/>
  <c r="K38" i="1"/>
  <c r="M38" i="1" s="1"/>
  <c r="K42" i="1"/>
  <c r="M42" i="1" s="1"/>
  <c r="K43" i="1"/>
  <c r="M43" i="1" s="1"/>
  <c r="K44" i="1"/>
  <c r="M44" i="1" s="1"/>
  <c r="K45" i="1"/>
  <c r="M45" i="1" s="1"/>
  <c r="F45" i="1" s="1"/>
  <c r="K46" i="1"/>
  <c r="M46" i="1" s="1"/>
  <c r="K47" i="1"/>
  <c r="M47" i="1" s="1"/>
  <c r="K48" i="1"/>
  <c r="M48" i="1" s="1"/>
  <c r="K49" i="1"/>
  <c r="M49" i="1" s="1"/>
  <c r="K50" i="1"/>
  <c r="M50" i="1" s="1"/>
  <c r="K51" i="1"/>
  <c r="M51" i="1" s="1"/>
  <c r="F51" i="1" s="1"/>
  <c r="K52" i="1"/>
  <c r="M52" i="1" s="1"/>
  <c r="K53" i="1"/>
  <c r="M53" i="1" s="1"/>
  <c r="K54" i="1"/>
  <c r="M54" i="1" s="1"/>
  <c r="K55" i="1"/>
  <c r="M55" i="1" s="1"/>
  <c r="K56" i="1"/>
  <c r="M56" i="1" s="1"/>
  <c r="K57" i="1"/>
  <c r="M57" i="1" s="1"/>
  <c r="K58" i="1"/>
  <c r="M58" i="1" s="1"/>
  <c r="K59" i="1"/>
  <c r="M59" i="1" s="1"/>
  <c r="K60" i="1"/>
  <c r="M60" i="1" s="1"/>
  <c r="F60" i="1" s="1"/>
  <c r="K61" i="1"/>
  <c r="M61" i="1" s="1"/>
  <c r="K62" i="1"/>
  <c r="M62" i="1" s="1"/>
  <c r="K63" i="1"/>
  <c r="M63" i="1" s="1"/>
  <c r="K64" i="1"/>
  <c r="M64" i="1" s="1"/>
  <c r="K65" i="1"/>
  <c r="M65" i="1" s="1"/>
  <c r="K66" i="1"/>
  <c r="M66" i="1" s="1"/>
  <c r="K67" i="1"/>
  <c r="M67" i="1" s="1"/>
  <c r="K68" i="1"/>
  <c r="M68" i="1" s="1"/>
  <c r="K69" i="1"/>
  <c r="M69" i="1" s="1"/>
  <c r="F69" i="1" s="1"/>
  <c r="K70" i="1"/>
  <c r="M70" i="1" s="1"/>
  <c r="K71" i="1"/>
  <c r="M71" i="1" s="1"/>
  <c r="K72" i="1"/>
  <c r="M72" i="1" s="1"/>
  <c r="K73" i="1"/>
  <c r="M73" i="1" s="1"/>
  <c r="K74" i="1"/>
  <c r="M74" i="1" s="1"/>
  <c r="K75" i="1"/>
  <c r="M75" i="1" s="1"/>
  <c r="F75" i="1" s="1"/>
  <c r="K76" i="1"/>
  <c r="M76" i="1" s="1"/>
  <c r="K77" i="1"/>
  <c r="M77" i="1" s="1"/>
  <c r="K78" i="1"/>
  <c r="M78" i="1" s="1"/>
  <c r="K79" i="1"/>
  <c r="M79" i="1" s="1"/>
  <c r="K80" i="1"/>
  <c r="M80" i="1" s="1"/>
  <c r="K81" i="1"/>
  <c r="M81" i="1" s="1"/>
  <c r="K82" i="1"/>
  <c r="M82" i="1" s="1"/>
  <c r="K83" i="1"/>
  <c r="M83" i="1" s="1"/>
  <c r="K84" i="1"/>
  <c r="M84" i="1" s="1"/>
  <c r="F84" i="1" s="1"/>
  <c r="K85" i="1"/>
  <c r="M85" i="1" s="1"/>
  <c r="K86" i="1"/>
  <c r="M86" i="1" s="1"/>
  <c r="K87" i="1"/>
  <c r="M87" i="1" s="1"/>
  <c r="K88" i="1"/>
  <c r="M88" i="1" s="1"/>
  <c r="K89" i="1"/>
  <c r="M89" i="1" s="1"/>
  <c r="K90" i="1"/>
  <c r="M90" i="1" s="1"/>
  <c r="K91" i="1"/>
  <c r="M91" i="1" s="1"/>
  <c r="K92" i="1"/>
  <c r="M92" i="1" s="1"/>
  <c r="K93" i="1"/>
  <c r="M93" i="1" s="1"/>
  <c r="K94" i="1"/>
  <c r="M94" i="1" s="1"/>
  <c r="K95" i="1"/>
  <c r="M95" i="1" s="1"/>
  <c r="K96" i="1"/>
  <c r="M96" i="1" s="1"/>
  <c r="K97" i="1"/>
  <c r="M97" i="1" s="1"/>
  <c r="K98" i="1"/>
  <c r="M98" i="1" s="1"/>
  <c r="K99" i="1"/>
  <c r="M99" i="1" s="1"/>
  <c r="F99" i="1" s="1"/>
  <c r="K100" i="1"/>
  <c r="M100" i="1" s="1"/>
  <c r="K101" i="1"/>
  <c r="M101" i="1" s="1"/>
  <c r="K102" i="1"/>
  <c r="M102" i="1" s="1"/>
  <c r="K103" i="1"/>
  <c r="M103" i="1" s="1"/>
  <c r="K104" i="1"/>
  <c r="M104" i="1" s="1"/>
  <c r="K105" i="1"/>
  <c r="M105" i="1" s="1"/>
  <c r="K106" i="1"/>
  <c r="M106" i="1" s="1"/>
  <c r="K107" i="1"/>
  <c r="M107" i="1" s="1"/>
  <c r="K108" i="1"/>
  <c r="M108" i="1" s="1"/>
  <c r="F108" i="1" s="1"/>
  <c r="K109" i="1"/>
  <c r="M109" i="1" s="1"/>
  <c r="K110" i="1"/>
  <c r="M110" i="1" s="1"/>
  <c r="K111" i="1"/>
  <c r="M111" i="1" s="1"/>
  <c r="K112" i="1"/>
  <c r="M112" i="1" s="1"/>
  <c r="K113" i="1"/>
  <c r="M113" i="1" s="1"/>
  <c r="K114" i="1"/>
  <c r="M114" i="1" s="1"/>
  <c r="K115" i="1"/>
  <c r="M115" i="1" s="1"/>
  <c r="K116" i="1"/>
  <c r="M116" i="1" s="1"/>
  <c r="K117" i="1"/>
  <c r="M117" i="1" s="1"/>
  <c r="K118" i="1"/>
  <c r="M118" i="1" s="1"/>
  <c r="K119" i="1"/>
  <c r="M119" i="1" s="1"/>
  <c r="K120" i="1"/>
  <c r="M120" i="1" s="1"/>
  <c r="K122" i="1"/>
  <c r="M122" i="1" s="1"/>
  <c r="K123" i="1"/>
  <c r="M123" i="1" s="1"/>
  <c r="K124" i="1"/>
  <c r="M124" i="1" s="1"/>
  <c r="K125" i="1"/>
  <c r="M125" i="1" s="1"/>
  <c r="K126" i="1"/>
  <c r="M126" i="1" s="1"/>
  <c r="F126" i="1" s="1"/>
  <c r="K127" i="1"/>
  <c r="M127" i="1" s="1"/>
  <c r="K128" i="1"/>
  <c r="M128" i="1" s="1"/>
  <c r="K129" i="1"/>
  <c r="M129" i="1" s="1"/>
  <c r="K130" i="1"/>
  <c r="M130" i="1" s="1"/>
  <c r="K131" i="1"/>
  <c r="M131" i="1" s="1"/>
  <c r="K132" i="1"/>
  <c r="M132" i="1" s="1"/>
  <c r="F132" i="1" s="1"/>
  <c r="K133" i="1"/>
  <c r="M133" i="1" s="1"/>
  <c r="K134" i="1"/>
  <c r="M134" i="1" s="1"/>
  <c r="K135" i="1"/>
  <c r="M135" i="1" s="1"/>
  <c r="K136" i="1"/>
  <c r="M136" i="1" s="1"/>
  <c r="K137" i="1"/>
  <c r="M137" i="1" s="1"/>
  <c r="K138" i="1"/>
  <c r="M138" i="1" s="1"/>
  <c r="K139" i="1"/>
  <c r="M139" i="1" s="1"/>
  <c r="K140" i="1"/>
  <c r="M140" i="1" s="1"/>
  <c r="K141" i="1"/>
  <c r="M141" i="1" s="1"/>
  <c r="F141" i="1" s="1"/>
  <c r="K142" i="1"/>
  <c r="M142" i="1" s="1"/>
  <c r="K143" i="1"/>
  <c r="M143" i="1" s="1"/>
  <c r="K144" i="1"/>
  <c r="M144" i="1" s="1"/>
  <c r="K145" i="1"/>
  <c r="M145" i="1" s="1"/>
  <c r="K146" i="1"/>
  <c r="M146" i="1" s="1"/>
  <c r="K147" i="1"/>
  <c r="M147" i="1" s="1"/>
  <c r="K148" i="1"/>
  <c r="M148" i="1" s="1"/>
  <c r="K149" i="1"/>
  <c r="M149" i="1" s="1"/>
  <c r="K150" i="1"/>
  <c r="M150" i="1" s="1"/>
  <c r="F150" i="1" s="1"/>
  <c r="K151" i="1"/>
  <c r="M151" i="1" s="1"/>
  <c r="K152" i="1"/>
  <c r="M152" i="1" s="1"/>
  <c r="K153" i="1"/>
  <c r="M153" i="1" s="1"/>
  <c r="K154" i="1"/>
  <c r="M154" i="1" s="1"/>
  <c r="K155" i="1"/>
  <c r="M155" i="1" s="1"/>
  <c r="K156" i="1"/>
  <c r="M156" i="1" s="1"/>
  <c r="F156" i="1" s="1"/>
  <c r="K157" i="1"/>
  <c r="M157" i="1" s="1"/>
  <c r="K158" i="1"/>
  <c r="M158" i="1" s="1"/>
  <c r="K159" i="1"/>
  <c r="M159" i="1" s="1"/>
  <c r="K160" i="1"/>
  <c r="M160" i="1" s="1"/>
  <c r="K161" i="1"/>
  <c r="M161" i="1" s="1"/>
  <c r="K162" i="1"/>
  <c r="M162" i="1" s="1"/>
  <c r="K163" i="1"/>
  <c r="M163" i="1" s="1"/>
  <c r="K164" i="1"/>
  <c r="M164" i="1" s="1"/>
  <c r="K165" i="1"/>
  <c r="M165" i="1" s="1"/>
  <c r="F165" i="1" s="1"/>
  <c r="K166" i="1"/>
  <c r="M166" i="1" s="1"/>
  <c r="K167" i="1"/>
  <c r="M167" i="1" s="1"/>
  <c r="K168" i="1"/>
  <c r="M168" i="1" s="1"/>
  <c r="K169" i="1"/>
  <c r="M169" i="1" s="1"/>
  <c r="K170" i="1"/>
  <c r="M170" i="1" s="1"/>
  <c r="K171" i="1"/>
  <c r="M171" i="1" s="1"/>
  <c r="K172" i="1"/>
  <c r="M172" i="1" s="1"/>
  <c r="K173" i="1"/>
  <c r="M173" i="1" s="1"/>
  <c r="K174" i="1"/>
  <c r="M174" i="1" s="1"/>
  <c r="F174" i="1" s="1"/>
  <c r="K175" i="1"/>
  <c r="M175" i="1" s="1"/>
  <c r="K176" i="1"/>
  <c r="M176" i="1" s="1"/>
  <c r="K177" i="1"/>
  <c r="M177" i="1" s="1"/>
  <c r="K178" i="1"/>
  <c r="M178" i="1" s="1"/>
  <c r="K179" i="1"/>
  <c r="M179" i="1" s="1"/>
  <c r="K180" i="1"/>
  <c r="M180" i="1" s="1"/>
  <c r="F180" i="1" s="1"/>
  <c r="K181" i="1"/>
  <c r="M181" i="1" s="1"/>
  <c r="K182" i="1"/>
  <c r="M182" i="1" s="1"/>
  <c r="K183" i="1"/>
  <c r="M183" i="1" s="1"/>
  <c r="K184" i="1"/>
  <c r="M184" i="1" s="1"/>
  <c r="K185" i="1"/>
  <c r="M185" i="1" s="1"/>
  <c r="K186" i="1"/>
  <c r="M186" i="1" s="1"/>
  <c r="K187" i="1"/>
  <c r="M187" i="1" s="1"/>
  <c r="K188" i="1"/>
  <c r="M188" i="1" s="1"/>
  <c r="K189" i="1"/>
  <c r="M189" i="1" s="1"/>
  <c r="F189" i="1" s="1"/>
  <c r="K190" i="1"/>
  <c r="M190" i="1" s="1"/>
  <c r="K191" i="1"/>
  <c r="M191" i="1" s="1"/>
  <c r="K192" i="1"/>
  <c r="M192" i="1" s="1"/>
  <c r="K193" i="1"/>
  <c r="M193" i="1" s="1"/>
  <c r="K194" i="1"/>
  <c r="M194" i="1" s="1"/>
  <c r="K195" i="1"/>
  <c r="M195" i="1" s="1"/>
  <c r="K196" i="1"/>
  <c r="M196" i="1" s="1"/>
  <c r="K197" i="1"/>
  <c r="M197" i="1" s="1"/>
  <c r="K198" i="1"/>
  <c r="M198" i="1" s="1"/>
  <c r="F198" i="1" s="1"/>
  <c r="K200" i="1"/>
  <c r="M200" i="1" s="1"/>
  <c r="K201" i="1"/>
  <c r="M201" i="1" s="1"/>
  <c r="K202" i="1"/>
  <c r="M202" i="1" s="1"/>
  <c r="K203" i="1"/>
  <c r="M203" i="1" s="1"/>
  <c r="K204" i="1"/>
  <c r="M204" i="1" s="1"/>
  <c r="K205" i="1"/>
  <c r="M205" i="1" s="1"/>
  <c r="K206" i="1"/>
  <c r="M206" i="1" s="1"/>
  <c r="K3" i="1"/>
  <c r="M3" i="1" s="1"/>
  <c r="F195" i="1" l="1"/>
  <c r="F123" i="1"/>
  <c r="F186" i="1"/>
  <c r="F138" i="1"/>
  <c r="E180" i="1"/>
  <c r="E33" i="1"/>
  <c r="F153" i="1"/>
  <c r="F171" i="1"/>
  <c r="F66" i="1"/>
  <c r="E189" i="1"/>
  <c r="E141" i="1"/>
  <c r="E45" i="1"/>
  <c r="F105" i="1"/>
  <c r="F57" i="1"/>
  <c r="E204" i="1"/>
  <c r="E60" i="1"/>
  <c r="E9" i="1"/>
  <c r="F177" i="1"/>
  <c r="F120" i="1"/>
  <c r="F72" i="1"/>
  <c r="F21" i="1"/>
  <c r="E195" i="1"/>
  <c r="E171" i="1"/>
  <c r="E147" i="1"/>
  <c r="E123" i="1"/>
  <c r="E99" i="1"/>
  <c r="E75" i="1"/>
  <c r="E51" i="1"/>
  <c r="E24" i="1"/>
  <c r="F201" i="1"/>
  <c r="F192" i="1"/>
  <c r="F168" i="1"/>
  <c r="F144" i="1"/>
  <c r="F111" i="1"/>
  <c r="F87" i="1"/>
  <c r="F63" i="1"/>
  <c r="F36" i="1"/>
  <c r="F12" i="1"/>
  <c r="E186" i="1"/>
  <c r="E162" i="1"/>
  <c r="E138" i="1"/>
  <c r="E114" i="1"/>
  <c r="E90" i="1"/>
  <c r="E66" i="1"/>
  <c r="E15" i="1"/>
  <c r="F147" i="1"/>
  <c r="F90" i="1"/>
  <c r="F15" i="1"/>
  <c r="E117" i="1"/>
  <c r="E69" i="1"/>
  <c r="E18" i="1"/>
  <c r="F6" i="1"/>
  <c r="E132" i="1"/>
  <c r="E84" i="1"/>
  <c r="F129" i="1"/>
  <c r="F183" i="1"/>
  <c r="F159" i="1"/>
  <c r="F135" i="1"/>
  <c r="F102" i="1"/>
  <c r="F78" i="1"/>
  <c r="F54" i="1"/>
  <c r="F27" i="1"/>
  <c r="E201" i="1"/>
  <c r="E177" i="1"/>
  <c r="E153" i="1"/>
  <c r="E129" i="1"/>
  <c r="E105" i="1"/>
  <c r="E81" i="1"/>
  <c r="E57" i="1"/>
  <c r="E30" i="1"/>
  <c r="E6" i="1"/>
  <c r="F39" i="1"/>
  <c r="F204" i="1"/>
  <c r="F114" i="1"/>
  <c r="E165" i="1"/>
  <c r="E93" i="1"/>
  <c r="F162" i="1"/>
  <c r="F81" i="1"/>
  <c r="F30" i="1"/>
  <c r="E156" i="1"/>
  <c r="E108" i="1"/>
  <c r="F96" i="1"/>
  <c r="F48" i="1"/>
  <c r="F3" i="1"/>
  <c r="F117" i="1"/>
  <c r="F93" i="1"/>
  <c r="E120" i="1"/>
  <c r="E48" i="1"/>
  <c r="E21" i="1"/>
  <c r="E39" i="1"/>
</calcChain>
</file>

<file path=xl/sharedStrings.xml><?xml version="1.0" encoding="utf-8"?>
<sst xmlns="http://schemas.openxmlformats.org/spreadsheetml/2006/main" count="907" uniqueCount="297">
  <si>
    <t>included in total</t>
  </si>
  <si>
    <t>not included in total</t>
  </si>
  <si>
    <t>Female ID</t>
  </si>
  <si>
    <t>Male ID</t>
  </si>
  <si>
    <t>Average Div. %</t>
  </si>
  <si>
    <t>Average Fert. %</t>
  </si>
  <si>
    <t>Divided</t>
  </si>
  <si>
    <t>Polar Bodies</t>
  </si>
  <si>
    <t>Total</t>
  </si>
  <si>
    <t>Fertilized</t>
  </si>
  <si>
    <t>Divided %</t>
  </si>
  <si>
    <t>Fertilization %</t>
  </si>
  <si>
    <t>degenerated</t>
  </si>
  <si>
    <t>edge/can't see</t>
  </si>
  <si>
    <t>Notes</t>
  </si>
  <si>
    <t>ULM-1-F</t>
  </si>
  <si>
    <t>ULM-3-M</t>
  </si>
  <si>
    <t>a</t>
  </si>
  <si>
    <t>b</t>
  </si>
  <si>
    <t>c</t>
  </si>
  <si>
    <t>ULM-9-M</t>
  </si>
  <si>
    <t>ULM-10-M</t>
  </si>
  <si>
    <t>degenerating are included in total, edge are not included in total (for fertilization calculation purposes, BUT edge can later be included in total for total egg calculation purposes if scaling up using volume</t>
  </si>
  <si>
    <t>MBG-1-M</t>
  </si>
  <si>
    <t>2 degenerated are divided, 2 degenerated have polar bodies, so 4 total degenerated</t>
  </si>
  <si>
    <t>MBG-2-M</t>
  </si>
  <si>
    <t>ugly shapes</t>
  </si>
  <si>
    <t>MGB-3-M</t>
  </si>
  <si>
    <t>ULM-4-F</t>
  </si>
  <si>
    <t>2 generated were included in divided</t>
  </si>
  <si>
    <t>some egg shell separation seen</t>
  </si>
  <si>
    <t>about 4 degenerated (in total)</t>
  </si>
  <si>
    <t>1 degenerated that wasn't divided</t>
  </si>
  <si>
    <t>2 with egg shell separation but in the divided group, see drawing</t>
  </si>
  <si>
    <t>1 degenerated divided, 1 degenerated polar body</t>
  </si>
  <si>
    <t>ULM-0-F</t>
  </si>
  <si>
    <t>20uL at 4x, this female originally called a male and substituted in.</t>
  </si>
  <si>
    <t>orig. M, bad F</t>
  </si>
  <si>
    <t>d</t>
  </si>
  <si>
    <t>tried 3 more reps at 100uL to try to get more embryos to look at, looked at 10x</t>
  </si>
  <si>
    <t>e</t>
  </si>
  <si>
    <t>10x on computer screen</t>
  </si>
  <si>
    <t>f</t>
  </si>
  <si>
    <t>Had to look at 100uL samples at 10x on scope, found 1/1 (divided), 0/0, 0/0 in 2uL samples at 10x on scope</t>
  </si>
  <si>
    <t>ULM-10M</t>
  </si>
  <si>
    <t>100uL samples at 10x on scope, also viewed polar body on computer screen to be sure</t>
  </si>
  <si>
    <t>MGB-1-M</t>
  </si>
  <si>
    <t>lots of pawprint style with this female</t>
  </si>
  <si>
    <t>re-counted just to be sure (viewed twice)</t>
  </si>
  <si>
    <t>MGB-2-M</t>
  </si>
  <si>
    <t xml:space="preserve">100uL sample </t>
  </si>
  <si>
    <t>1st non-dividing egg seen in several samples</t>
  </si>
  <si>
    <t>MGB-1-F</t>
  </si>
  <si>
    <t>May or may not have switched back to 20uL. Notes indicate I should have, which I think means I did. Generally garbage-shaped. ~2-cell stage if divided</t>
  </si>
  <si>
    <t>"bad"</t>
  </si>
  <si>
    <t>generally garbage-shaped</t>
  </si>
  <si>
    <t>garbage-shaped, even the divided ones were bad (poorly shaped)</t>
  </si>
  <si>
    <t>again look like garbage</t>
  </si>
  <si>
    <t>all different shapes, sizes, degenerated, garbage</t>
  </si>
  <si>
    <t>not super confident that some of the division in this cross isn't just part of the degeneration process (cells breaking down).</t>
  </si>
  <si>
    <t>less garbage eggs, but still mostly garbage, some round, better than previous cross</t>
  </si>
  <si>
    <t>divided cells look like junk, polar bodies are more convincing, lot of degnerations</t>
  </si>
  <si>
    <t>generally degenerated</t>
  </si>
  <si>
    <t>2 of the divided look good, polar bodies are more convincing</t>
  </si>
  <si>
    <t>generally degenerated but the divided look decent</t>
  </si>
  <si>
    <t>2 divided look decent, 2 look degenerated</t>
  </si>
  <si>
    <t>divided are okay quality</t>
  </si>
  <si>
    <t>MGB-2-F</t>
  </si>
  <si>
    <t>Definitely back to 20uL samples, 1 divided has a polar body still (see image)</t>
  </si>
  <si>
    <t>1 was sort of mickey mouse shaped but not divided</t>
  </si>
  <si>
    <t>polar body was maybe a polar body or maybe early division, or maybe just odd shaped, took image</t>
  </si>
  <si>
    <t>1 maybe polar body, 1 maybe early division, 9 garbage/odd-shaped, 2 degenerated/egg shell deparation</t>
  </si>
  <si>
    <t>8 degenerated/garbage</t>
  </si>
  <si>
    <t>2 degenerated had egg shell seperation</t>
  </si>
  <si>
    <t>1 on edge looks divided but not included in divided or total</t>
  </si>
  <si>
    <t>1 undivided may have been, but looked odd</t>
  </si>
  <si>
    <t>1 degenerated included in undivided (as is the rule)</t>
  </si>
  <si>
    <t>at least one divided also had a polar body. Not counted separately (polar bodies only counted separated when on undivided embryos)</t>
  </si>
  <si>
    <t>1 (husk) severely degenerated not included, almost invisible - this starts to get tricky later when there are a ton of these</t>
  </si>
  <si>
    <t>double checked @ 4x through eye pieces</t>
  </si>
  <si>
    <t>MGB-3-F</t>
  </si>
  <si>
    <t>1 (husk) additional degenerated was not included because it was extremely faint and they are not usually included</t>
  </si>
  <si>
    <t>1 degenerated after divided (not included, see photo), 4 were husks only, not usually included so not included in total but included in 35</t>
  </si>
  <si>
    <t>*typically severely degenerated are not prevelant or included, but included here because a huge portion)</t>
  </si>
  <si>
    <t>2 husks included in degenerated - but not included in total, to be in total, degenerated are egg shell separation or no egg shell, BUT maybe should include husks in total</t>
  </si>
  <si>
    <t>5 husks included in degenerated - but not included in total, to be in total, degenerated are egg shell separation or no egg shell, BUT maybe should include husks in total</t>
  </si>
  <si>
    <t>1 husk also</t>
  </si>
  <si>
    <t>2 husks</t>
  </si>
  <si>
    <t>5 husks</t>
  </si>
  <si>
    <t>10 husks</t>
  </si>
  <si>
    <t>2 husks, using new windows PC</t>
  </si>
  <si>
    <t>7 husks</t>
  </si>
  <si>
    <t>4 husks</t>
  </si>
  <si>
    <t>9 husks</t>
  </si>
  <si>
    <t>1 husk</t>
  </si>
  <si>
    <t>14 husks</t>
  </si>
  <si>
    <t>ULM-5-F</t>
  </si>
  <si>
    <t>ULM-11-M</t>
  </si>
  <si>
    <t>some very odd deflated shapes, almost look divided but don't actually</t>
  </si>
  <si>
    <t>ULM-12-M</t>
  </si>
  <si>
    <t>2-, 3-, 5-, and mostly 4-cell stage (paw print)</t>
  </si>
  <si>
    <t>1 clearly un-fertilized egg</t>
  </si>
  <si>
    <t>ULM-6-F</t>
  </si>
  <si>
    <t>1 legit polar body, others may have had polar bodies leaving (9) but they look much tinier than any others I have seen, miniscule, 2 look like they are starting to divided (see drawings)</t>
  </si>
  <si>
    <t>12 possible (tiny) polar bodies not included</t>
  </si>
  <si>
    <t>3 legit polar bodies included, 10 possible (tiny) polar bodies not included</t>
  </si>
  <si>
    <t>rest looked like garbage, odd, uneven shapes, not perfect circles, not clearly divided, uneven edges, deflated, and a few small disintegrated possible former eggs - not counted (see drawings)</t>
  </si>
  <si>
    <t>captured a few images to show abnormal cells compared to divided cells, saved on google drive</t>
  </si>
  <si>
    <t>ULM-7-F</t>
  </si>
  <si>
    <t>ULM-13-M</t>
  </si>
  <si>
    <t>polar bodies were very small and questionable</t>
  </si>
  <si>
    <t>ULM-15-M</t>
  </si>
  <si>
    <t>10x in scope, too dense on camera, lot of odd shapes</t>
  </si>
  <si>
    <t>ULM-8-F</t>
  </si>
  <si>
    <t>1 of the divided looked like it was about to break down, polar bodies were not super convincing to me</t>
  </si>
  <si>
    <t>polar bodies not super convincing</t>
  </si>
  <si>
    <t>ULM-9-F</t>
  </si>
  <si>
    <t>PAC-4-F</t>
  </si>
  <si>
    <t>re-sampled with a 100uL sample, viewed through camera, previously in 20uL sample, 1/2, 1/3, 3/3</t>
  </si>
  <si>
    <t>originally called F</t>
  </si>
  <si>
    <t>100uL, viewed through eye pieces on scope, 2-3 cell stage</t>
  </si>
  <si>
    <t>100uL, viewed through eye pieces on scope</t>
  </si>
  <si>
    <t>PAC-2-M</t>
  </si>
  <si>
    <t>re-sampled with a 100uL sample, viewed through eye pieces on scope, previously in 20uL sample, 3/4 polar bodies with 1 edge, 1/1 divided, 0/1 divided</t>
  </si>
  <si>
    <t>ULM-10-F</t>
  </si>
  <si>
    <t>1 odd shaped like an apple, rest round, looks like a million sperm, may need to be washed earlier/this one may not have gotten washed (took images)</t>
  </si>
  <si>
    <t>all covered in sperm, small degraded "mini-eggs" also, did not count the smaller than usually counted "eggs"</t>
  </si>
  <si>
    <t>almost all were covered in sperm except maybe 3 (note from 2/24/22 - if these were divided, may not have been able to see divisions)</t>
  </si>
  <si>
    <t>similar to images taked for #47, polyspermy/lot of sperm - didn’t get washed/washed in time</t>
  </si>
  <si>
    <t>again - if these were divided, may not have been able to see divisions if were covered in sperm (note from 2/24/22)</t>
  </si>
  <si>
    <t>ULM-M-2</t>
  </si>
  <si>
    <t>ULM-F-4</t>
  </si>
  <si>
    <t>2-3 cells to several bubbly cells, super dense so using eye pieces so can see entire squares, may have considered diluting 2:1 (9:4.5) by adding 900uL sample to 350 uL formalin but the math doesn't track and neither do the notes, look slike I was just have been thinking on paper, then re-figured it later for sample 53</t>
  </si>
  <si>
    <t>originally called M</t>
  </si>
  <si>
    <t>either large polar bodies or early division (see drawing), but counted as polar bodies</t>
  </si>
  <si>
    <t>ULM-11-F</t>
  </si>
  <si>
    <t>ULM-12-F</t>
  </si>
  <si>
    <t>100uL samples, at 20uL, samples were 1/8 divided, 2/10 divided, 5/8 divided, seen through scope with eye pieces</t>
  </si>
  <si>
    <t>ULM-13-F</t>
  </si>
  <si>
    <t>PAC-7-M</t>
  </si>
  <si>
    <t>couple with egg shell separation, back to 20uL sample</t>
  </si>
  <si>
    <t>egg shell separation, maybe some sperm "hairballs"</t>
  </si>
  <si>
    <t>MGB-4-F</t>
  </si>
  <si>
    <t>MGB-4-M</t>
  </si>
  <si>
    <t xml:space="preserve">several with egg shell separation (degeneration). starting with a 9:1 dilution (900uL sample, 100uL formalin), took 50uL, added another 100uL formalin (so further diluted 2:1). Multiple total by 3 for a comparable total egg estimate. </t>
  </si>
  <si>
    <t>several with egg shell separation (degeneration)</t>
  </si>
  <si>
    <t>MGB-12-M</t>
  </si>
  <si>
    <t>even 2-3 divided ones had major degeneration (separated egg shells) - see drawing.</t>
  </si>
  <si>
    <t>2-3 cell stage</t>
  </si>
  <si>
    <t>MGB-5-F</t>
  </si>
  <si>
    <t>20uL, no extra dilution</t>
  </si>
  <si>
    <t>2-, 3-, 4-cell stage (mickey-mouse), 20uL</t>
  </si>
  <si>
    <t>MGB-7-F</t>
  </si>
  <si>
    <t>MGB-16-M</t>
  </si>
  <si>
    <t>couple degenerated, egg shell separation</t>
  </si>
  <si>
    <t>MBG-17-M</t>
  </si>
  <si>
    <t>polar body is tiny (so maybe questionable)</t>
  </si>
  <si>
    <t>MGB-8-F</t>
  </si>
  <si>
    <t>egg shell separation (see drawing)</t>
  </si>
  <si>
    <t>polar bodies listed as questionable, degenerated listed as egg shell separation</t>
  </si>
  <si>
    <t>egg shell separation (based on drawing)</t>
  </si>
  <si>
    <t>degenerated count does not count husks (totally empty)</t>
  </si>
  <si>
    <t>MGB-9-F</t>
  </si>
  <si>
    <t>no degenerated eggs - explicitly stated</t>
  </si>
  <si>
    <t>super dense</t>
  </si>
  <si>
    <t>MGB-F-10</t>
  </si>
  <si>
    <t>100uL, in 20uL, 7/8, 4/4, 2/5 divided, white cloudy substance, fungus?</t>
  </si>
  <si>
    <t>100uL, in 20uL, 7/7 (6 divided, 1 PB), 3/4, 5/5</t>
  </si>
  <si>
    <t>PAC-pool</t>
  </si>
  <si>
    <t>20uL, dense</t>
  </si>
  <si>
    <t>ULM-pool</t>
  </si>
  <si>
    <t>PAC-1-F</t>
  </si>
  <si>
    <t>diluted 9:1, then used 20uL, ~16-cell stage</t>
  </si>
  <si>
    <t>Cross</t>
  </si>
  <si>
    <t>NTX-1-F</t>
  </si>
  <si>
    <t>NTX-1-M</t>
  </si>
  <si>
    <t>degenerated included in total, edge not included in total, could make separate total if doing count estimates</t>
  </si>
  <si>
    <t>very consistent polar bodies</t>
  </si>
  <si>
    <t>a few degenerated, will enter as "3"</t>
  </si>
  <si>
    <t>NTX-4-M</t>
  </si>
  <si>
    <t>NTX-5-M</t>
  </si>
  <si>
    <t>NTX-3-M</t>
  </si>
  <si>
    <t>NTX-2-F</t>
  </si>
  <si>
    <t>NTX-21-M</t>
  </si>
  <si>
    <t>20uL, camera, 10x, 2-4 cell stage</t>
  </si>
  <si>
    <t>2-4 cell stage</t>
  </si>
  <si>
    <t>NTX-15-M</t>
  </si>
  <si>
    <t>(also had 8/11 - 8 divided, but probably too small of a sample)</t>
  </si>
  <si>
    <t>NTX-18-M</t>
  </si>
  <si>
    <t>100uL, at 20uL, had 11/12 divided (2-3 cell stage), 7/7 divided, 9/10 (7 divided, 2 PB's)</t>
  </si>
  <si>
    <t>NTX-3-F</t>
  </si>
  <si>
    <t>NTX-11-M</t>
  </si>
  <si>
    <t>20uL, scope, 10x, a few degenerated</t>
  </si>
  <si>
    <t>2-cell stage, a few degenerated</t>
  </si>
  <si>
    <t>NTX-2-M</t>
  </si>
  <si>
    <t>100uL, at 20uL, 1/2, 1/3, 3/4, looks like a lot of sperm (see drawing)</t>
  </si>
  <si>
    <t>NTX-6-M</t>
  </si>
  <si>
    <t>100uL, at 20uL, 7/13, 10/14 (1 degenerated), 6/11 (5 divided, 1PB)</t>
  </si>
  <si>
    <t>NTX-4-F</t>
  </si>
  <si>
    <t>NTX-16-M</t>
  </si>
  <si>
    <t>100uL redo to quantify (include) degenerated embryos), 13 degenerated embryos included in 44 total</t>
  </si>
  <si>
    <t>5 degenerated embryos included in total (non-fert), degenerated mostly requires both an egg shell and some internal matter, not just a chunk of random cells or a husk alone</t>
  </si>
  <si>
    <t>17 degenerated embryos included in total (non-fert)</t>
  </si>
  <si>
    <t>NTX-11M</t>
  </si>
  <si>
    <t>100uL redo to quantify (include) degenerated embryos), 14 degenerated embryos included in 96 total</t>
  </si>
  <si>
    <t>21 degenerated non-fertilized</t>
  </si>
  <si>
    <t>19 degenerated non-fertilized</t>
  </si>
  <si>
    <t>NTX-5-F</t>
  </si>
  <si>
    <t>100uL, 2-4 cell stage, 10x scope</t>
  </si>
  <si>
    <t>PB's very clear</t>
  </si>
  <si>
    <t>100uL, super dilute, won't get 100 eggs or embryos with 1000uL (10-100mL)</t>
  </si>
  <si>
    <t>NTX-6-F</t>
  </si>
  <si>
    <t>20uL, PB's very clear</t>
  </si>
  <si>
    <t>PB's clear</t>
  </si>
  <si>
    <t>2-cell stage, 3-4 degenerated eggs not originally counted in total of 84 (adding in 4 now for new total of 88)</t>
  </si>
  <si>
    <t>3 degenerated not originally included in total of 53, now adding in for new total of 56</t>
  </si>
  <si>
    <t>NTX-7-F</t>
  </si>
  <si>
    <t>NTX-8-F</t>
  </si>
  <si>
    <t>2 degraded, non-fert. already included in non-fert (and thus also included in the total)</t>
  </si>
  <si>
    <t>2-cell stage</t>
  </si>
  <si>
    <t>1 divided is "verified" (perhaps double-checked)</t>
  </si>
  <si>
    <t>NTX-13-F</t>
  </si>
  <si>
    <t>100uL, 2-cell stage</t>
  </si>
  <si>
    <t>ULM-5-M</t>
  </si>
  <si>
    <t>20uL, 10x scope, 2-3 cell stage, clear PB's (see images)</t>
  </si>
  <si>
    <t>ULM-8-M</t>
  </si>
  <si>
    <t>2-3 cell stage, PB's very clear</t>
  </si>
  <si>
    <t>some 4-cell stage</t>
  </si>
  <si>
    <t>ULM-2-F</t>
  </si>
  <si>
    <t>PB's super clear</t>
  </si>
  <si>
    <t>ULM-1-M</t>
  </si>
  <si>
    <t>2-3 cell, mostly clear PB's, some more embryos may have had a PB or a disturbance in the cell membrane leading toward degradation</t>
  </si>
  <si>
    <t>ULM-3-F</t>
  </si>
  <si>
    <t>ULM-7-M</t>
  </si>
  <si>
    <t>20uL, 10x scope, 2-cell stage, PB's clear, see 1 image, several undivided cells look like they are missing the egg shell or are rough around the edges, maybe have a ton of sperm on them, or are beginning to break down, but not clearly defined egg shells (another option is could be highly divided)</t>
  </si>
  <si>
    <t>20uL, 10x scope, 2-3 cell stage, PB's clear, see 1 image, several undivided cells look like they are missing the egg shell or are rough around the edges, maybe have a ton of sperm on them or are beginning to break down, but not clearly defined egg shells (another option is could be highly divided)</t>
  </si>
  <si>
    <t>much higher division rate (&gt;2-3 cell stage)</t>
  </si>
  <si>
    <t>PB - clear</t>
  </si>
  <si>
    <t>ULM-6-M</t>
  </si>
  <si>
    <t>some chunks of cells, non-egg or highly degenerated (no shell), not counted, small</t>
  </si>
  <si>
    <t>PB - small side</t>
  </si>
  <si>
    <t>ULM-2-M</t>
  </si>
  <si>
    <t>8 degenerated included in total (non-fertilized)</t>
  </si>
  <si>
    <t>4 degenerated included in total, 1 looks like polyspermy or at least many sperm</t>
  </si>
  <si>
    <t>ULM-4-M</t>
  </si>
  <si>
    <t>2-3 cell stage, lot of 3-cell stage</t>
  </si>
  <si>
    <t>2- cell stage</t>
  </si>
  <si>
    <t>2-cell stage, very clear PB, possible fungus in tube - white chunk, removed easily</t>
  </si>
  <si>
    <t>very clear PB</t>
  </si>
  <si>
    <t>2-cell stage, very clear PB, some debris/misc. cells around</t>
  </si>
  <si>
    <t>very clear PB, tons of pointy cells like almost ready to divide or put out a PB</t>
  </si>
  <si>
    <t>double checked count on edge</t>
  </si>
  <si>
    <t>white chunks present, not easy to remove</t>
  </si>
  <si>
    <t>ULM-14-F</t>
  </si>
  <si>
    <t>clear PB</t>
  </si>
  <si>
    <t>white chunks, thick film on bottom</t>
  </si>
  <si>
    <t>PB clear - mostly</t>
  </si>
  <si>
    <t>Materials</t>
  </si>
  <si>
    <t>Sedgewick rafter counting chamber</t>
  </si>
  <si>
    <t>Multiple denominator (4-tally) counter</t>
  </si>
  <si>
    <t>Scope - details</t>
  </si>
  <si>
    <t>Camera - details</t>
  </si>
  <si>
    <t>Formalin (10% formaldehyde), added to sample for storage (9:1 sample:10% formadehyde, so 1% in solution - sample preserved in a 1% formalin solution) and dilution</t>
  </si>
  <si>
    <t>Definitions</t>
  </si>
  <si>
    <t>Shows at least 1 cell division</t>
  </si>
  <si>
    <t>Polar bodies</t>
  </si>
  <si>
    <t>Only count as having a polar body if not also divided</t>
  </si>
  <si>
    <t xml:space="preserve">Degenerated </t>
  </si>
  <si>
    <t>Has evidence of an "egg shell" or cell membrane AND internal material (no egg shell = just a cluster of cells, no internal material = a husk)</t>
  </si>
  <si>
    <t>Must be included in total, if not will inflated division % and fertilization %</t>
  </si>
  <si>
    <t>Often referred to as "degraded" in lab notebook</t>
  </si>
  <si>
    <t>Husk</t>
  </si>
  <si>
    <t>Included in degenerated count in most cases, but not in total (it appears). Should probably be included in total. Problem is that some are so light they may not have been counted in some cases so could be inconsistent.</t>
  </si>
  <si>
    <t>Question about degenerated (and husks) - did they not become fertilized and are now falling apart because they started as bad eggs, are are they breaking down because they didn't get fertilized? Or is that even different? Or could they be the result of a bad genetic match (likely, too), and are now falling apart?</t>
  </si>
  <si>
    <t>Edge</t>
  </si>
  <si>
    <t>Can't see this embryo fully because it is on the edge of the droplet, can't detect if divided or not, or has a polar body resting on the edge we can't see</t>
  </si>
  <si>
    <t xml:space="preserve">Must not be included in total for purpose of calculating division % and fertilization %, but must be included in total if estimating count (using volumes to scale up to total volume of eggs extracted from individual) </t>
  </si>
  <si>
    <t>Total number of embryos with either cell division and/or polar body</t>
  </si>
  <si>
    <t>Methods</t>
  </si>
  <si>
    <t>Vortex original sample tube</t>
  </si>
  <si>
    <t>Looked at 3-20uL sub-samples unless there were &lt;15 (preferably at least 25) embryos in the 20uL sample, then looked at 3-100uL samples</t>
  </si>
  <si>
    <t>If the 20uL sub-sample was too dense &gt;150 embryos, added 100uL sample to 900uL (9:10), so (x10 later) formalin OR 100uL sample to 200uL formalin (2:1), so (x3 later) and then looked at 3-20uL samples</t>
  </si>
  <si>
    <t>For really dense samples, had to view through eye pieces because couldn't see entire square on camera at 10x</t>
  </si>
  <si>
    <t>Questions</t>
  </si>
  <si>
    <t>What if the polar body is exiting on any other part of the embryo than can be seen on the flat plane? (The "dark side of the moon" question)</t>
  </si>
  <si>
    <t>Sampling (Spawning)</t>
  </si>
  <si>
    <t>7.13.21 - we started with a 6 x 6 cross for true crosses and hybrids</t>
  </si>
  <si>
    <t>2 females ended up being horrible - eggs burst on ULM-3-F, eggs were just bad on MGB-1-F, so lost those mixes with 6 males each, not a big problem when there is plenty of sperm but can be a problem if it is limited</t>
  </si>
  <si>
    <t>Replaced ULM-3-F with ULM-0 which was previously assigned a male, it ended up being horrible also</t>
  </si>
  <si>
    <t>Not a ton of independence because mostly used same males and females, but that's the best we can do anyway</t>
  </si>
  <si>
    <t>7.28.21 - data points not fully independent because females and males re-used, but this is true in all cases up to this point, and each cross is still unique</t>
  </si>
  <si>
    <t>Broodstock are highgraded for gonad and overall quality so #1 of each sex is expected to be the best. Efforts were made to not just cross 1 x 1, 2 x 2, 7 x 7, 12 x 12 and so on because this could bias results</t>
  </si>
  <si>
    <t xml:space="preserve">Cross type </t>
  </si>
  <si>
    <t>SS</t>
  </si>
  <si>
    <t>SN</t>
  </si>
  <si>
    <t>NS</t>
  </si>
  <si>
    <t>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</si>
</sst>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2"/>
      <color rgb="FF000000"/>
      <name val="Calibri"/>
      <family val="2"/>
      <scheme val="minor"/>
    </font>
    <font>
      <sz val="12"/>
      <color theme="0" tint="-0.14999847407452621"/>
      <name val="Calibri"/>
      <family val="2"/>
      <scheme val="minor"/>
    </font>
    <font>
      <sz val="12"/>
      <color theme="2"/>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9">
    <xf numFmtId="0" fontId="0" fillId="0" borderId="0" xfId="0"/>
    <xf numFmtId="9" fontId="0" fillId="0" borderId="0" xfId="0" applyNumberFormat="1"/>
    <xf numFmtId="0" fontId="0" fillId="0" borderId="0" xfId="0" applyAlignment="1">
      <alignment horizontal="center"/>
    </xf>
    <xf numFmtId="1" fontId="0" fillId="0" borderId="0" xfId="0" applyNumberFormat="1"/>
    <xf numFmtId="2" fontId="0" fillId="0" borderId="0" xfId="0" applyNumberFormat="1"/>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3" fillId="0" borderId="0" xfId="0" applyFont="1"/>
    <xf numFmtId="2" fontId="3" fillId="0" borderId="0" xfId="0" applyNumberFormat="1" applyFont="1"/>
    <xf numFmtId="0" fontId="4" fillId="0" borderId="0" xfId="0" applyFont="1" applyAlignment="1">
      <alignment horizontal="center"/>
    </xf>
    <xf numFmtId="0" fontId="4" fillId="0" borderId="0" xfId="0" applyFont="1"/>
    <xf numFmtId="2" fontId="4" fillId="0" borderId="0" xfId="0" applyNumberFormat="1" applyFont="1"/>
    <xf numFmtId="1" fontId="0" fillId="0" borderId="0" xfId="0" applyNumberFormat="1" applyAlignment="1">
      <alignment horizontal="center"/>
    </xf>
    <xf numFmtId="2" fontId="0" fillId="2" borderId="0" xfId="0" applyNumberFormat="1" applyFill="1"/>
    <xf numFmtId="2" fontId="0" fillId="3" borderId="0" xfId="0" applyNumberFormat="1" applyFill="1"/>
    <xf numFmtId="2" fontId="0" fillId="4" borderId="0" xfId="0" applyNumberFormat="1" applyFill="1"/>
    <xf numFmtId="2" fontId="0" fillId="5" borderId="0" xfId="0" applyNumberFormat="1" applyFill="1"/>
    <xf numFmtId="2" fontId="0" fillId="6"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9F33-1C35-C747-9641-7F99CD7DAA8C}">
  <dimension ref="A1:Q206"/>
  <sheetViews>
    <sheetView tabSelected="1" zoomScale="140" zoomScaleNormal="140" workbookViewId="0">
      <pane ySplit="2" topLeftCell="A186" activePane="bottomLeft" state="frozen"/>
      <selection pane="bottomLeft" activeCell="E199" sqref="E199"/>
    </sheetView>
  </sheetViews>
  <sheetFormatPr baseColWidth="10" defaultColWidth="11" defaultRowHeight="16" x14ac:dyDescent="0.2"/>
  <cols>
    <col min="1" max="1" width="6.1640625" style="2" customWidth="1"/>
    <col min="2" max="2" width="16.33203125" style="2" bestFit="1" customWidth="1"/>
    <col min="3" max="3" width="15.5" style="2" bestFit="1" customWidth="1"/>
    <col min="5" max="5" width="12.83203125" style="4" bestFit="1" customWidth="1"/>
    <col min="6" max="6" width="14.1640625" style="4" bestFit="1" customWidth="1"/>
    <col min="7" max="7" width="4" style="2" customWidth="1"/>
    <col min="9" max="9" width="11.5" customWidth="1"/>
    <col min="12" max="12" width="10.83203125" style="4"/>
    <col min="13" max="13" width="13" style="4" bestFit="1" customWidth="1"/>
    <col min="14" max="14" width="14.5" bestFit="1" customWidth="1"/>
    <col min="15" max="15" width="18" bestFit="1" customWidth="1"/>
    <col min="16" max="16" width="227.6640625" bestFit="1" customWidth="1"/>
  </cols>
  <sheetData>
    <row r="1" spans="1:16" x14ac:dyDescent="0.2">
      <c r="E1" s="13">
        <v>5</v>
      </c>
      <c r="F1" s="13">
        <v>6</v>
      </c>
      <c r="N1" t="s">
        <v>0</v>
      </c>
      <c r="O1" t="s">
        <v>1</v>
      </c>
    </row>
    <row r="2" spans="1:16" x14ac:dyDescent="0.2">
      <c r="A2" s="2" t="s">
        <v>173</v>
      </c>
      <c r="B2" s="2" t="s">
        <v>2</v>
      </c>
      <c r="C2" s="2" t="s">
        <v>3</v>
      </c>
      <c r="D2" s="2" t="s">
        <v>292</v>
      </c>
      <c r="E2" s="4" t="s">
        <v>4</v>
      </c>
      <c r="F2" s="4" t="s">
        <v>5</v>
      </c>
      <c r="H2" t="s">
        <v>6</v>
      </c>
      <c r="I2" t="s">
        <v>7</v>
      </c>
      <c r="J2" t="s">
        <v>8</v>
      </c>
      <c r="K2" t="s">
        <v>9</v>
      </c>
      <c r="L2" s="4" t="s">
        <v>10</v>
      </c>
      <c r="M2" s="4" t="s">
        <v>11</v>
      </c>
      <c r="N2" t="s">
        <v>12</v>
      </c>
      <c r="O2" t="s">
        <v>13</v>
      </c>
      <c r="P2" s="1" t="s">
        <v>14</v>
      </c>
    </row>
    <row r="3" spans="1:16" x14ac:dyDescent="0.2">
      <c r="A3" s="2">
        <v>1</v>
      </c>
      <c r="B3" s="2" t="s">
        <v>15</v>
      </c>
      <c r="C3" s="2" t="s">
        <v>16</v>
      </c>
      <c r="D3" t="s">
        <v>293</v>
      </c>
      <c r="E3" s="16">
        <f>AVERAGE(L3:L5)</f>
        <v>40.773809523809526</v>
      </c>
      <c r="F3" s="4">
        <f>AVERAGE(M3:M5)</f>
        <v>52.916666666666664</v>
      </c>
      <c r="G3" s="2" t="s">
        <v>17</v>
      </c>
      <c r="H3">
        <v>17</v>
      </c>
      <c r="I3">
        <v>4</v>
      </c>
      <c r="J3">
        <v>32</v>
      </c>
      <c r="K3">
        <f>H3+I3</f>
        <v>21</v>
      </c>
      <c r="L3" s="4">
        <f>H3/J3*100</f>
        <v>53.125</v>
      </c>
      <c r="M3" s="4">
        <f>K3/J3*100</f>
        <v>65.625</v>
      </c>
      <c r="N3">
        <v>0</v>
      </c>
      <c r="O3">
        <v>0</v>
      </c>
    </row>
    <row r="4" spans="1:16" x14ac:dyDescent="0.2">
      <c r="E4" s="16"/>
      <c r="G4" s="2" t="s">
        <v>18</v>
      </c>
      <c r="H4">
        <v>13</v>
      </c>
      <c r="I4">
        <v>4</v>
      </c>
      <c r="J4">
        <v>32</v>
      </c>
      <c r="K4">
        <f t="shared" ref="K4:K70" si="0">H4+I4</f>
        <v>17</v>
      </c>
      <c r="L4" s="4">
        <f t="shared" ref="L4:L70" si="1">H4/J4*100</f>
        <v>40.625</v>
      </c>
      <c r="M4" s="4">
        <f t="shared" ref="M4:M70" si="2">K4/J4*100</f>
        <v>53.125</v>
      </c>
      <c r="N4">
        <v>0</v>
      </c>
      <c r="O4">
        <v>0</v>
      </c>
    </row>
    <row r="5" spans="1:16" x14ac:dyDescent="0.2">
      <c r="E5" s="16"/>
      <c r="G5" s="2" t="s">
        <v>19</v>
      </c>
      <c r="H5">
        <v>10</v>
      </c>
      <c r="I5">
        <v>4</v>
      </c>
      <c r="J5">
        <v>35</v>
      </c>
      <c r="K5">
        <f t="shared" si="0"/>
        <v>14</v>
      </c>
      <c r="L5" s="4">
        <f t="shared" si="1"/>
        <v>28.571428571428569</v>
      </c>
      <c r="M5" s="4">
        <f t="shared" si="2"/>
        <v>40</v>
      </c>
      <c r="N5">
        <v>0</v>
      </c>
      <c r="O5">
        <v>0</v>
      </c>
    </row>
    <row r="6" spans="1:16" x14ac:dyDescent="0.2">
      <c r="A6" s="2">
        <v>2</v>
      </c>
      <c r="B6" s="2" t="s">
        <v>15</v>
      </c>
      <c r="C6" s="2" t="s">
        <v>20</v>
      </c>
      <c r="D6" t="s">
        <v>293</v>
      </c>
      <c r="E6" s="16">
        <f>AVERAGE(L6:L8)</f>
        <v>53.751544269045986</v>
      </c>
      <c r="F6" s="4">
        <f>AVERAGE(M6:M8)</f>
        <v>67.556165637153967</v>
      </c>
      <c r="G6" s="2" t="s">
        <v>17</v>
      </c>
      <c r="H6">
        <v>13</v>
      </c>
      <c r="I6">
        <v>4</v>
      </c>
      <c r="J6">
        <v>31</v>
      </c>
      <c r="K6">
        <f t="shared" si="0"/>
        <v>17</v>
      </c>
      <c r="L6" s="4">
        <f t="shared" si="1"/>
        <v>41.935483870967744</v>
      </c>
      <c r="M6" s="4">
        <f t="shared" si="2"/>
        <v>54.838709677419352</v>
      </c>
      <c r="N6">
        <v>0</v>
      </c>
      <c r="O6">
        <v>0</v>
      </c>
    </row>
    <row r="7" spans="1:16" x14ac:dyDescent="0.2">
      <c r="E7" s="16"/>
      <c r="G7" s="2" t="s">
        <v>18</v>
      </c>
      <c r="H7">
        <v>26</v>
      </c>
      <c r="I7">
        <v>4</v>
      </c>
      <c r="J7">
        <v>47</v>
      </c>
      <c r="K7">
        <f t="shared" si="0"/>
        <v>30</v>
      </c>
      <c r="L7" s="4">
        <f t="shared" si="1"/>
        <v>55.319148936170215</v>
      </c>
      <c r="M7" s="4">
        <f t="shared" si="2"/>
        <v>63.829787234042556</v>
      </c>
      <c r="N7">
        <v>0</v>
      </c>
      <c r="O7">
        <v>0</v>
      </c>
    </row>
    <row r="8" spans="1:16" x14ac:dyDescent="0.2">
      <c r="E8" s="16"/>
      <c r="G8" s="2" t="s">
        <v>19</v>
      </c>
      <c r="H8">
        <v>16</v>
      </c>
      <c r="I8">
        <v>5</v>
      </c>
      <c r="J8">
        <v>25</v>
      </c>
      <c r="K8">
        <f t="shared" si="0"/>
        <v>21</v>
      </c>
      <c r="L8" s="4">
        <f t="shared" si="1"/>
        <v>64</v>
      </c>
      <c r="M8" s="4">
        <f t="shared" si="2"/>
        <v>84</v>
      </c>
      <c r="N8">
        <v>0</v>
      </c>
      <c r="O8">
        <v>0</v>
      </c>
    </row>
    <row r="9" spans="1:16" x14ac:dyDescent="0.2">
      <c r="A9" s="2">
        <v>3</v>
      </c>
      <c r="B9" s="2" t="s">
        <v>15</v>
      </c>
      <c r="C9" s="2" t="s">
        <v>21</v>
      </c>
      <c r="D9" t="s">
        <v>293</v>
      </c>
      <c r="E9" s="16">
        <f>AVERAGE(L9:L11)</f>
        <v>49.679724069967982</v>
      </c>
      <c r="F9" s="4">
        <f>AVERAGE(M9:M11)</f>
        <v>63.143631436314365</v>
      </c>
      <c r="G9" s="2" t="s">
        <v>17</v>
      </c>
      <c r="H9">
        <v>22</v>
      </c>
      <c r="I9">
        <v>10</v>
      </c>
      <c r="J9">
        <v>44</v>
      </c>
      <c r="K9">
        <f t="shared" si="0"/>
        <v>32</v>
      </c>
      <c r="L9" s="4">
        <f t="shared" si="1"/>
        <v>50</v>
      </c>
      <c r="M9" s="4">
        <f t="shared" si="2"/>
        <v>72.727272727272734</v>
      </c>
      <c r="N9">
        <v>1</v>
      </c>
      <c r="O9">
        <v>2</v>
      </c>
      <c r="P9" t="s">
        <v>22</v>
      </c>
    </row>
    <row r="10" spans="1:16" x14ac:dyDescent="0.2">
      <c r="E10" s="16"/>
      <c r="G10" s="2" t="s">
        <v>18</v>
      </c>
      <c r="H10">
        <v>17</v>
      </c>
      <c r="I10">
        <v>6</v>
      </c>
      <c r="J10">
        <v>41</v>
      </c>
      <c r="K10">
        <f t="shared" si="0"/>
        <v>23</v>
      </c>
      <c r="L10" s="4">
        <f t="shared" si="1"/>
        <v>41.463414634146339</v>
      </c>
      <c r="M10" s="4">
        <f t="shared" si="2"/>
        <v>56.09756097560976</v>
      </c>
      <c r="N10">
        <v>2</v>
      </c>
      <c r="O10">
        <v>2</v>
      </c>
    </row>
    <row r="11" spans="1:16" x14ac:dyDescent="0.2">
      <c r="E11" s="16"/>
      <c r="G11" s="2" t="s">
        <v>19</v>
      </c>
      <c r="H11">
        <v>19</v>
      </c>
      <c r="I11">
        <v>1</v>
      </c>
      <c r="J11">
        <v>33</v>
      </c>
      <c r="K11">
        <f t="shared" si="0"/>
        <v>20</v>
      </c>
      <c r="L11" s="4">
        <f t="shared" si="1"/>
        <v>57.575757575757578</v>
      </c>
      <c r="M11" s="4">
        <f t="shared" si="2"/>
        <v>60.606060606060609</v>
      </c>
      <c r="N11">
        <v>0</v>
      </c>
      <c r="O11">
        <v>2</v>
      </c>
    </row>
    <row r="12" spans="1:16" x14ac:dyDescent="0.2">
      <c r="A12" s="2">
        <v>4</v>
      </c>
      <c r="B12" s="2" t="s">
        <v>15</v>
      </c>
      <c r="C12" s="2" t="s">
        <v>23</v>
      </c>
      <c r="D12" t="s">
        <v>294</v>
      </c>
      <c r="E12" s="17">
        <f>AVERAGE(L12:L14)</f>
        <v>31.555555555555557</v>
      </c>
      <c r="F12" s="4">
        <f>AVERAGE(M12:M14)</f>
        <v>44.154882154882159</v>
      </c>
      <c r="G12" s="2" t="s">
        <v>17</v>
      </c>
      <c r="H12">
        <v>11</v>
      </c>
      <c r="I12">
        <v>7</v>
      </c>
      <c r="J12">
        <v>44</v>
      </c>
      <c r="K12">
        <f t="shared" si="0"/>
        <v>18</v>
      </c>
      <c r="L12" s="4">
        <f t="shared" si="1"/>
        <v>25</v>
      </c>
      <c r="M12" s="4">
        <f t="shared" si="2"/>
        <v>40.909090909090914</v>
      </c>
      <c r="N12">
        <v>4</v>
      </c>
      <c r="O12">
        <v>0</v>
      </c>
      <c r="P12" t="s">
        <v>24</v>
      </c>
    </row>
    <row r="13" spans="1:16" x14ac:dyDescent="0.2">
      <c r="E13" s="17"/>
      <c r="G13" s="2" t="s">
        <v>18</v>
      </c>
      <c r="H13">
        <v>15</v>
      </c>
      <c r="I13">
        <v>5</v>
      </c>
      <c r="J13">
        <v>36</v>
      </c>
      <c r="K13">
        <f t="shared" si="0"/>
        <v>20</v>
      </c>
      <c r="L13" s="4">
        <f t="shared" si="1"/>
        <v>41.666666666666671</v>
      </c>
      <c r="M13" s="4">
        <f t="shared" si="2"/>
        <v>55.555555555555557</v>
      </c>
      <c r="N13">
        <v>3</v>
      </c>
      <c r="O13">
        <v>3</v>
      </c>
    </row>
    <row r="14" spans="1:16" x14ac:dyDescent="0.2">
      <c r="E14" s="17"/>
      <c r="G14" s="2" t="s">
        <v>19</v>
      </c>
      <c r="H14">
        <v>7</v>
      </c>
      <c r="I14">
        <v>2</v>
      </c>
      <c r="J14">
        <v>25</v>
      </c>
      <c r="K14">
        <f t="shared" si="0"/>
        <v>9</v>
      </c>
      <c r="L14" s="4">
        <f t="shared" si="1"/>
        <v>28.000000000000004</v>
      </c>
      <c r="M14" s="4">
        <f t="shared" si="2"/>
        <v>36</v>
      </c>
      <c r="N14">
        <v>1</v>
      </c>
      <c r="O14">
        <v>5</v>
      </c>
    </row>
    <row r="15" spans="1:16" x14ac:dyDescent="0.2">
      <c r="A15" s="2">
        <v>5</v>
      </c>
      <c r="B15" s="2" t="s">
        <v>15</v>
      </c>
      <c r="C15" s="2" t="s">
        <v>25</v>
      </c>
      <c r="D15" t="s">
        <v>294</v>
      </c>
      <c r="E15" s="17">
        <f t="shared" ref="E15:F15" si="3">AVERAGE(L15:L17)</f>
        <v>60.322580645161288</v>
      </c>
      <c r="F15" s="4">
        <f t="shared" si="3"/>
        <v>66.330341983992227</v>
      </c>
      <c r="G15" s="2" t="s">
        <v>17</v>
      </c>
      <c r="H15">
        <v>22</v>
      </c>
      <c r="I15">
        <v>3</v>
      </c>
      <c r="J15">
        <v>31</v>
      </c>
      <c r="K15">
        <f t="shared" si="0"/>
        <v>25</v>
      </c>
      <c r="L15" s="4">
        <f t="shared" si="1"/>
        <v>70.967741935483872</v>
      </c>
      <c r="M15" s="4">
        <f t="shared" si="2"/>
        <v>80.645161290322577</v>
      </c>
    </row>
    <row r="16" spans="1:16" x14ac:dyDescent="0.2">
      <c r="E16" s="17"/>
      <c r="G16" s="2" t="s">
        <v>18</v>
      </c>
      <c r="H16">
        <v>21</v>
      </c>
      <c r="I16">
        <v>2</v>
      </c>
      <c r="J16">
        <v>35</v>
      </c>
      <c r="K16">
        <f t="shared" si="0"/>
        <v>23</v>
      </c>
      <c r="L16" s="4">
        <f t="shared" si="1"/>
        <v>60</v>
      </c>
      <c r="M16" s="4">
        <f t="shared" si="2"/>
        <v>65.714285714285708</v>
      </c>
      <c r="P16" t="s">
        <v>26</v>
      </c>
    </row>
    <row r="17" spans="1:16" x14ac:dyDescent="0.2">
      <c r="E17" s="17"/>
      <c r="G17" s="2" t="s">
        <v>19</v>
      </c>
      <c r="H17">
        <v>19</v>
      </c>
      <c r="I17">
        <v>1</v>
      </c>
      <c r="J17">
        <v>38</v>
      </c>
      <c r="K17">
        <f t="shared" si="0"/>
        <v>20</v>
      </c>
      <c r="L17" s="4">
        <f t="shared" si="1"/>
        <v>50</v>
      </c>
      <c r="M17" s="4">
        <f t="shared" si="2"/>
        <v>52.631578947368418</v>
      </c>
    </row>
    <row r="18" spans="1:16" x14ac:dyDescent="0.2">
      <c r="A18" s="2">
        <v>6</v>
      </c>
      <c r="B18" s="2" t="s">
        <v>15</v>
      </c>
      <c r="C18" s="2" t="s">
        <v>27</v>
      </c>
      <c r="D18" t="s">
        <v>294</v>
      </c>
      <c r="E18" s="17">
        <f t="shared" ref="E18:F18" si="4">AVERAGE(L18:L20)</f>
        <v>53.951973951973947</v>
      </c>
      <c r="F18" s="4">
        <f t="shared" si="4"/>
        <v>66.47944647944648</v>
      </c>
      <c r="G18" s="2" t="s">
        <v>17</v>
      </c>
      <c r="H18">
        <v>22</v>
      </c>
      <c r="I18">
        <v>6</v>
      </c>
      <c r="J18">
        <v>45</v>
      </c>
      <c r="K18">
        <f t="shared" si="0"/>
        <v>28</v>
      </c>
      <c r="L18" s="4">
        <f t="shared" si="1"/>
        <v>48.888888888888886</v>
      </c>
      <c r="M18" s="4">
        <f t="shared" si="2"/>
        <v>62.222222222222221</v>
      </c>
    </row>
    <row r="19" spans="1:16" x14ac:dyDescent="0.2">
      <c r="E19" s="17"/>
      <c r="G19" s="2" t="s">
        <v>18</v>
      </c>
      <c r="H19">
        <v>18</v>
      </c>
      <c r="I19">
        <v>4</v>
      </c>
      <c r="J19">
        <v>35</v>
      </c>
      <c r="K19">
        <f t="shared" si="0"/>
        <v>22</v>
      </c>
      <c r="L19" s="4">
        <f t="shared" si="1"/>
        <v>51.428571428571423</v>
      </c>
      <c r="M19" s="4">
        <f t="shared" si="2"/>
        <v>62.857142857142854</v>
      </c>
      <c r="N19">
        <v>0</v>
      </c>
      <c r="O19">
        <v>2</v>
      </c>
    </row>
    <row r="20" spans="1:16" x14ac:dyDescent="0.2">
      <c r="E20" s="17"/>
      <c r="G20" s="2" t="s">
        <v>19</v>
      </c>
      <c r="H20">
        <v>24</v>
      </c>
      <c r="I20">
        <v>5</v>
      </c>
      <c r="J20">
        <v>39</v>
      </c>
      <c r="K20">
        <f t="shared" si="0"/>
        <v>29</v>
      </c>
      <c r="L20" s="4">
        <f t="shared" si="1"/>
        <v>61.53846153846154</v>
      </c>
      <c r="M20" s="4">
        <f t="shared" si="2"/>
        <v>74.358974358974365</v>
      </c>
    </row>
    <row r="21" spans="1:16" x14ac:dyDescent="0.2">
      <c r="A21" s="2">
        <v>7</v>
      </c>
      <c r="B21" s="2" t="s">
        <v>28</v>
      </c>
      <c r="C21" s="2" t="s">
        <v>16</v>
      </c>
      <c r="D21" t="s">
        <v>293</v>
      </c>
      <c r="E21" s="16">
        <f t="shared" ref="E21:F21" si="5">AVERAGE(L21:L23)</f>
        <v>94.753086419753075</v>
      </c>
      <c r="F21" s="4">
        <f t="shared" si="5"/>
        <v>94.753086419753075</v>
      </c>
      <c r="G21" s="2" t="s">
        <v>17</v>
      </c>
      <c r="H21">
        <v>25</v>
      </c>
      <c r="I21">
        <v>0</v>
      </c>
      <c r="J21">
        <v>25</v>
      </c>
      <c r="K21">
        <f t="shared" si="0"/>
        <v>25</v>
      </c>
      <c r="L21" s="4">
        <f t="shared" si="1"/>
        <v>100</v>
      </c>
      <c r="M21" s="4">
        <f t="shared" si="2"/>
        <v>100</v>
      </c>
      <c r="N21">
        <v>2</v>
      </c>
      <c r="O21">
        <v>0</v>
      </c>
      <c r="P21" t="s">
        <v>29</v>
      </c>
    </row>
    <row r="22" spans="1:16" x14ac:dyDescent="0.2">
      <c r="E22" s="16"/>
      <c r="G22" s="2" t="s">
        <v>18</v>
      </c>
      <c r="H22">
        <v>22</v>
      </c>
      <c r="I22">
        <v>0</v>
      </c>
      <c r="J22">
        <v>24</v>
      </c>
      <c r="K22">
        <f t="shared" si="0"/>
        <v>22</v>
      </c>
      <c r="L22" s="4">
        <f t="shared" si="1"/>
        <v>91.666666666666657</v>
      </c>
      <c r="M22" s="4">
        <f t="shared" si="2"/>
        <v>91.666666666666657</v>
      </c>
      <c r="P22" t="s">
        <v>30</v>
      </c>
    </row>
    <row r="23" spans="1:16" x14ac:dyDescent="0.2">
      <c r="E23" s="16"/>
      <c r="G23" s="2" t="s">
        <v>19</v>
      </c>
      <c r="H23">
        <v>25</v>
      </c>
      <c r="I23">
        <v>0</v>
      </c>
      <c r="J23">
        <v>27</v>
      </c>
      <c r="K23">
        <f t="shared" si="0"/>
        <v>25</v>
      </c>
      <c r="L23" s="4">
        <f t="shared" si="1"/>
        <v>92.592592592592595</v>
      </c>
      <c r="M23" s="4">
        <f t="shared" si="2"/>
        <v>92.592592592592595</v>
      </c>
    </row>
    <row r="24" spans="1:16" x14ac:dyDescent="0.2">
      <c r="A24" s="2">
        <v>8</v>
      </c>
      <c r="B24" s="2" t="s">
        <v>28</v>
      </c>
      <c r="C24" s="2" t="s">
        <v>20</v>
      </c>
      <c r="D24" t="s">
        <v>293</v>
      </c>
      <c r="E24" s="16">
        <f t="shared" ref="E24:F24" si="6">AVERAGE(L24:L26)</f>
        <v>58.012820512820518</v>
      </c>
      <c r="F24" s="4">
        <f t="shared" si="6"/>
        <v>69.62250712250713</v>
      </c>
      <c r="G24" s="2" t="s">
        <v>17</v>
      </c>
      <c r="H24">
        <v>8</v>
      </c>
      <c r="I24">
        <v>2</v>
      </c>
      <c r="J24">
        <v>13</v>
      </c>
      <c r="K24">
        <f t="shared" si="0"/>
        <v>10</v>
      </c>
      <c r="L24" s="4">
        <f t="shared" si="1"/>
        <v>61.53846153846154</v>
      </c>
      <c r="M24" s="4">
        <f t="shared" si="2"/>
        <v>76.923076923076934</v>
      </c>
    </row>
    <row r="25" spans="1:16" x14ac:dyDescent="0.2">
      <c r="E25" s="16"/>
      <c r="G25" s="2" t="s">
        <v>18</v>
      </c>
      <c r="H25">
        <v>9</v>
      </c>
      <c r="I25">
        <v>2</v>
      </c>
      <c r="J25">
        <v>18</v>
      </c>
      <c r="K25">
        <f t="shared" si="0"/>
        <v>11</v>
      </c>
      <c r="L25" s="4">
        <f t="shared" si="1"/>
        <v>50</v>
      </c>
      <c r="M25" s="4">
        <f t="shared" si="2"/>
        <v>61.111111111111114</v>
      </c>
    </row>
    <row r="26" spans="1:16" x14ac:dyDescent="0.2">
      <c r="E26" s="16"/>
      <c r="G26" s="2" t="s">
        <v>19</v>
      </c>
      <c r="H26">
        <v>15</v>
      </c>
      <c r="I26">
        <v>2</v>
      </c>
      <c r="J26">
        <v>24</v>
      </c>
      <c r="K26">
        <f t="shared" si="0"/>
        <v>17</v>
      </c>
      <c r="L26" s="4">
        <f t="shared" si="1"/>
        <v>62.5</v>
      </c>
      <c r="M26" s="4">
        <f t="shared" si="2"/>
        <v>70.833333333333343</v>
      </c>
      <c r="P26" t="s">
        <v>31</v>
      </c>
    </row>
    <row r="27" spans="1:16" x14ac:dyDescent="0.2">
      <c r="A27" s="2">
        <v>9</v>
      </c>
      <c r="B27" s="2" t="s">
        <v>28</v>
      </c>
      <c r="C27" s="2" t="s">
        <v>21</v>
      </c>
      <c r="D27" t="s">
        <v>293</v>
      </c>
      <c r="E27" s="16">
        <f t="shared" ref="E27:F27" si="7">AVERAGE(L27:L29)</f>
        <v>90.160765160765166</v>
      </c>
      <c r="F27" s="4">
        <f t="shared" si="7"/>
        <v>90.160765160765166</v>
      </c>
      <c r="G27" s="2" t="s">
        <v>17</v>
      </c>
      <c r="H27">
        <v>12</v>
      </c>
      <c r="I27">
        <v>0</v>
      </c>
      <c r="J27">
        <v>13</v>
      </c>
      <c r="K27">
        <f t="shared" si="0"/>
        <v>12</v>
      </c>
      <c r="L27" s="4">
        <f t="shared" si="1"/>
        <v>92.307692307692307</v>
      </c>
      <c r="M27" s="4">
        <f t="shared" si="2"/>
        <v>92.307692307692307</v>
      </c>
      <c r="P27" t="s">
        <v>32</v>
      </c>
    </row>
    <row r="28" spans="1:16" x14ac:dyDescent="0.2">
      <c r="E28" s="16"/>
      <c r="G28" s="2" t="s">
        <v>18</v>
      </c>
      <c r="H28">
        <v>25</v>
      </c>
      <c r="I28">
        <v>0</v>
      </c>
      <c r="J28">
        <v>28</v>
      </c>
      <c r="K28">
        <f t="shared" si="0"/>
        <v>25</v>
      </c>
      <c r="L28" s="4">
        <f t="shared" si="1"/>
        <v>89.285714285714292</v>
      </c>
      <c r="M28" s="4">
        <f t="shared" si="2"/>
        <v>89.285714285714292</v>
      </c>
      <c r="P28" t="s">
        <v>32</v>
      </c>
    </row>
    <row r="29" spans="1:16" x14ac:dyDescent="0.2">
      <c r="E29" s="16"/>
      <c r="G29" s="2" t="s">
        <v>19</v>
      </c>
      <c r="H29">
        <v>16</v>
      </c>
      <c r="I29">
        <v>0</v>
      </c>
      <c r="J29">
        <v>18</v>
      </c>
      <c r="K29">
        <f t="shared" si="0"/>
        <v>16</v>
      </c>
      <c r="L29" s="4">
        <f t="shared" si="1"/>
        <v>88.888888888888886</v>
      </c>
      <c r="M29" s="4">
        <f t="shared" si="2"/>
        <v>88.888888888888886</v>
      </c>
      <c r="N29">
        <v>0</v>
      </c>
      <c r="O29">
        <v>3</v>
      </c>
      <c r="P29" t="s">
        <v>33</v>
      </c>
    </row>
    <row r="30" spans="1:16" x14ac:dyDescent="0.2">
      <c r="A30" s="2">
        <v>10</v>
      </c>
      <c r="B30" s="2" t="s">
        <v>28</v>
      </c>
      <c r="C30" s="2" t="s">
        <v>23</v>
      </c>
      <c r="D30" t="s">
        <v>294</v>
      </c>
      <c r="E30" s="17">
        <f t="shared" ref="E30:F30" si="8">AVERAGE(L30:L32)</f>
        <v>50.637140637140639</v>
      </c>
      <c r="F30" s="4">
        <f t="shared" si="8"/>
        <v>65.8041958041958</v>
      </c>
      <c r="G30" s="2" t="s">
        <v>17</v>
      </c>
      <c r="H30">
        <v>13</v>
      </c>
      <c r="I30">
        <v>2</v>
      </c>
      <c r="J30">
        <v>22</v>
      </c>
      <c r="K30">
        <f t="shared" si="0"/>
        <v>15</v>
      </c>
      <c r="L30" s="4">
        <f t="shared" si="1"/>
        <v>59.090909090909093</v>
      </c>
      <c r="M30" s="4">
        <f t="shared" si="2"/>
        <v>68.181818181818173</v>
      </c>
    </row>
    <row r="31" spans="1:16" x14ac:dyDescent="0.2">
      <c r="E31" s="17"/>
      <c r="G31" s="2" t="s">
        <v>18</v>
      </c>
      <c r="H31">
        <v>7</v>
      </c>
      <c r="I31">
        <v>2</v>
      </c>
      <c r="J31">
        <v>15</v>
      </c>
      <c r="K31">
        <f t="shared" si="0"/>
        <v>9</v>
      </c>
      <c r="L31" s="4">
        <f t="shared" si="1"/>
        <v>46.666666666666664</v>
      </c>
      <c r="M31" s="4">
        <f t="shared" si="2"/>
        <v>60</v>
      </c>
    </row>
    <row r="32" spans="1:16" x14ac:dyDescent="0.2">
      <c r="E32" s="17"/>
      <c r="G32" s="2" t="s">
        <v>19</v>
      </c>
      <c r="H32">
        <v>6</v>
      </c>
      <c r="I32">
        <v>3</v>
      </c>
      <c r="J32">
        <v>13</v>
      </c>
      <c r="K32">
        <f t="shared" si="0"/>
        <v>9</v>
      </c>
      <c r="L32" s="4">
        <f t="shared" si="1"/>
        <v>46.153846153846153</v>
      </c>
      <c r="M32" s="4">
        <f t="shared" si="2"/>
        <v>69.230769230769226</v>
      </c>
      <c r="N32">
        <v>0</v>
      </c>
      <c r="O32">
        <v>2</v>
      </c>
    </row>
    <row r="33" spans="1:16" x14ac:dyDescent="0.2">
      <c r="A33" s="2">
        <v>11</v>
      </c>
      <c r="B33" s="2" t="s">
        <v>28</v>
      </c>
      <c r="C33" s="2" t="s">
        <v>25</v>
      </c>
      <c r="D33" t="s">
        <v>294</v>
      </c>
      <c r="E33" s="17">
        <f t="shared" ref="E33:F33" si="9">AVERAGE(L33:L35)</f>
        <v>77.983032293377121</v>
      </c>
      <c r="F33" s="4">
        <f t="shared" si="9"/>
        <v>85.101943076081</v>
      </c>
      <c r="G33" s="2" t="s">
        <v>17</v>
      </c>
      <c r="H33">
        <v>24</v>
      </c>
      <c r="I33">
        <v>3</v>
      </c>
      <c r="J33">
        <v>29</v>
      </c>
      <c r="K33">
        <f t="shared" si="0"/>
        <v>27</v>
      </c>
      <c r="L33" s="4">
        <f t="shared" si="1"/>
        <v>82.758620689655174</v>
      </c>
      <c r="M33" s="4">
        <f t="shared" si="2"/>
        <v>93.103448275862064</v>
      </c>
    </row>
    <row r="34" spans="1:16" x14ac:dyDescent="0.2">
      <c r="E34" s="17"/>
      <c r="G34" s="2" t="s">
        <v>18</v>
      </c>
      <c r="H34">
        <v>16</v>
      </c>
      <c r="I34">
        <v>1</v>
      </c>
      <c r="J34">
        <v>21</v>
      </c>
      <c r="K34">
        <f t="shared" si="0"/>
        <v>17</v>
      </c>
      <c r="L34" s="4">
        <f t="shared" si="1"/>
        <v>76.19047619047619</v>
      </c>
      <c r="M34" s="4">
        <f t="shared" si="2"/>
        <v>80.952380952380949</v>
      </c>
      <c r="N34">
        <v>2</v>
      </c>
      <c r="O34">
        <v>0</v>
      </c>
      <c r="P34" t="s">
        <v>34</v>
      </c>
    </row>
    <row r="35" spans="1:16" x14ac:dyDescent="0.2">
      <c r="E35" s="17"/>
      <c r="G35" s="2" t="s">
        <v>19</v>
      </c>
      <c r="H35">
        <v>12</v>
      </c>
      <c r="I35">
        <v>1</v>
      </c>
      <c r="J35">
        <v>16</v>
      </c>
      <c r="K35">
        <f t="shared" si="0"/>
        <v>13</v>
      </c>
      <c r="L35" s="4">
        <f t="shared" si="1"/>
        <v>75</v>
      </c>
      <c r="M35" s="4">
        <f t="shared" si="2"/>
        <v>81.25</v>
      </c>
    </row>
    <row r="36" spans="1:16" x14ac:dyDescent="0.2">
      <c r="A36" s="2">
        <v>12</v>
      </c>
      <c r="B36" s="2" t="s">
        <v>28</v>
      </c>
      <c r="C36" s="2" t="s">
        <v>27</v>
      </c>
      <c r="D36" t="s">
        <v>294</v>
      </c>
      <c r="E36" s="17">
        <f t="shared" ref="E36:F36" si="10">AVERAGE(L36:L38)</f>
        <v>97.101449275362313</v>
      </c>
      <c r="F36" s="4">
        <f t="shared" si="10"/>
        <v>97.101449275362313</v>
      </c>
      <c r="G36" s="2" t="s">
        <v>17</v>
      </c>
      <c r="H36">
        <v>21</v>
      </c>
      <c r="I36">
        <v>0</v>
      </c>
      <c r="J36">
        <v>23</v>
      </c>
      <c r="K36">
        <f t="shared" si="0"/>
        <v>21</v>
      </c>
      <c r="L36" s="4">
        <f t="shared" si="1"/>
        <v>91.304347826086953</v>
      </c>
      <c r="M36" s="4">
        <f t="shared" si="2"/>
        <v>91.304347826086953</v>
      </c>
    </row>
    <row r="37" spans="1:16" x14ac:dyDescent="0.2">
      <c r="G37" s="2" t="s">
        <v>18</v>
      </c>
      <c r="H37">
        <v>30</v>
      </c>
      <c r="I37">
        <v>0</v>
      </c>
      <c r="J37">
        <v>30</v>
      </c>
      <c r="K37">
        <f t="shared" si="0"/>
        <v>30</v>
      </c>
      <c r="L37" s="4">
        <f t="shared" si="1"/>
        <v>100</v>
      </c>
      <c r="M37" s="4">
        <f t="shared" si="2"/>
        <v>100</v>
      </c>
    </row>
    <row r="38" spans="1:16" x14ac:dyDescent="0.2">
      <c r="G38" s="2" t="s">
        <v>19</v>
      </c>
      <c r="H38">
        <v>25</v>
      </c>
      <c r="I38">
        <v>0</v>
      </c>
      <c r="J38">
        <v>25</v>
      </c>
      <c r="K38">
        <f t="shared" si="0"/>
        <v>25</v>
      </c>
      <c r="L38" s="4">
        <f t="shared" si="1"/>
        <v>100</v>
      </c>
      <c r="M38" s="4">
        <f t="shared" si="2"/>
        <v>100</v>
      </c>
    </row>
    <row r="39" spans="1:16" s="11" customFormat="1" x14ac:dyDescent="0.2">
      <c r="A39" s="10">
        <v>13</v>
      </c>
      <c r="B39" s="10" t="s">
        <v>35</v>
      </c>
      <c r="C39" s="10" t="s">
        <v>16</v>
      </c>
      <c r="E39" s="12">
        <f>AVERAGE(L39:L44)</f>
        <v>75.555555555555557</v>
      </c>
      <c r="F39" s="12">
        <f>AVERAGE(M39:M44)</f>
        <v>75.555555555555557</v>
      </c>
      <c r="G39" s="10" t="s">
        <v>17</v>
      </c>
      <c r="H39" s="11">
        <v>1</v>
      </c>
      <c r="I39" s="11">
        <v>0</v>
      </c>
      <c r="J39" s="11">
        <v>1</v>
      </c>
      <c r="K39" s="11">
        <f t="shared" si="0"/>
        <v>1</v>
      </c>
      <c r="L39" s="12">
        <f t="shared" si="1"/>
        <v>100</v>
      </c>
      <c r="M39" s="12">
        <f t="shared" si="2"/>
        <v>100</v>
      </c>
      <c r="P39" s="11" t="s">
        <v>36</v>
      </c>
    </row>
    <row r="40" spans="1:16" s="11" customFormat="1" x14ac:dyDescent="0.2">
      <c r="A40" s="10"/>
      <c r="B40" s="10" t="s">
        <v>37</v>
      </c>
      <c r="C40" s="10"/>
      <c r="E40" s="12"/>
      <c r="F40" s="12"/>
      <c r="G40" s="10" t="s">
        <v>18</v>
      </c>
      <c r="H40" s="11">
        <v>2</v>
      </c>
      <c r="I40" s="11">
        <v>0</v>
      </c>
      <c r="J40" s="11">
        <v>2</v>
      </c>
      <c r="K40" s="11">
        <f t="shared" si="0"/>
        <v>2</v>
      </c>
      <c r="L40" s="12">
        <f t="shared" si="1"/>
        <v>100</v>
      </c>
      <c r="M40" s="12">
        <f t="shared" si="2"/>
        <v>100</v>
      </c>
    </row>
    <row r="41" spans="1:16" s="11" customFormat="1" x14ac:dyDescent="0.2">
      <c r="A41" s="10"/>
      <c r="B41" s="10"/>
      <c r="C41" s="10"/>
      <c r="E41" s="12"/>
      <c r="F41" s="12"/>
      <c r="G41" s="10" t="s">
        <v>19</v>
      </c>
      <c r="H41" s="11">
        <v>1</v>
      </c>
      <c r="I41" s="11">
        <v>0</v>
      </c>
      <c r="J41" s="11">
        <v>1</v>
      </c>
      <c r="K41" s="11">
        <f t="shared" si="0"/>
        <v>1</v>
      </c>
      <c r="L41" s="12">
        <f t="shared" si="1"/>
        <v>100</v>
      </c>
      <c r="M41" s="12">
        <f t="shared" si="2"/>
        <v>100</v>
      </c>
    </row>
    <row r="42" spans="1:16" s="11" customFormat="1" x14ac:dyDescent="0.2">
      <c r="A42" s="10"/>
      <c r="B42" s="10"/>
      <c r="C42" s="10"/>
      <c r="E42" s="12"/>
      <c r="F42" s="12"/>
      <c r="G42" s="10" t="s">
        <v>38</v>
      </c>
      <c r="H42" s="11">
        <v>1</v>
      </c>
      <c r="I42" s="11">
        <v>0</v>
      </c>
      <c r="J42" s="11">
        <v>3</v>
      </c>
      <c r="K42" s="11">
        <f>H42+I42</f>
        <v>1</v>
      </c>
      <c r="L42" s="12">
        <f>H42/J42*100</f>
        <v>33.333333333333329</v>
      </c>
      <c r="M42" s="12">
        <f>K42/J42*100</f>
        <v>33.333333333333329</v>
      </c>
      <c r="N42" s="11">
        <v>0</v>
      </c>
      <c r="O42" s="11">
        <v>1</v>
      </c>
      <c r="P42" s="11" t="s">
        <v>39</v>
      </c>
    </row>
    <row r="43" spans="1:16" s="11" customFormat="1" x14ac:dyDescent="0.2">
      <c r="A43" s="10"/>
      <c r="B43" s="10"/>
      <c r="C43" s="10"/>
      <c r="E43" s="12"/>
      <c r="F43" s="12"/>
      <c r="G43" s="10" t="s">
        <v>40</v>
      </c>
      <c r="H43" s="11">
        <v>1</v>
      </c>
      <c r="I43" s="11">
        <v>0</v>
      </c>
      <c r="J43" s="11">
        <v>5</v>
      </c>
      <c r="K43" s="11">
        <f>H43+I43</f>
        <v>1</v>
      </c>
      <c r="L43" s="12">
        <f>H43/J43*100</f>
        <v>20</v>
      </c>
      <c r="M43" s="12">
        <f>K43/J43*100</f>
        <v>20</v>
      </c>
      <c r="P43" s="11" t="s">
        <v>41</v>
      </c>
    </row>
    <row r="44" spans="1:16" s="11" customFormat="1" x14ac:dyDescent="0.2">
      <c r="A44" s="10"/>
      <c r="B44" s="10"/>
      <c r="C44" s="10"/>
      <c r="E44" s="12"/>
      <c r="F44" s="12"/>
      <c r="G44" s="10" t="s">
        <v>42</v>
      </c>
      <c r="H44" s="11">
        <v>3</v>
      </c>
      <c r="I44" s="11">
        <v>0</v>
      </c>
      <c r="J44" s="11">
        <v>3</v>
      </c>
      <c r="K44" s="11">
        <f>H44+I44</f>
        <v>3</v>
      </c>
      <c r="L44" s="12">
        <f>H44/J44*100</f>
        <v>100</v>
      </c>
      <c r="M44" s="12">
        <f>K44/J44*100</f>
        <v>100</v>
      </c>
      <c r="P44" s="11" t="s">
        <v>41</v>
      </c>
    </row>
    <row r="45" spans="1:16" s="11" customFormat="1" x14ac:dyDescent="0.2">
      <c r="A45" s="10">
        <v>14</v>
      </c>
      <c r="B45" s="10" t="s">
        <v>35</v>
      </c>
      <c r="C45" s="10" t="s">
        <v>20</v>
      </c>
      <c r="E45" s="12">
        <f t="shared" ref="E45:F45" si="11">AVERAGE(L45:L47)</f>
        <v>100</v>
      </c>
      <c r="F45" s="12">
        <f t="shared" si="11"/>
        <v>100</v>
      </c>
      <c r="G45" s="10" t="s">
        <v>17</v>
      </c>
      <c r="H45" s="11">
        <v>4</v>
      </c>
      <c r="I45" s="11">
        <v>0</v>
      </c>
      <c r="J45" s="11">
        <v>4</v>
      </c>
      <c r="K45" s="11">
        <f t="shared" si="0"/>
        <v>4</v>
      </c>
      <c r="L45" s="12">
        <f t="shared" si="1"/>
        <v>100</v>
      </c>
      <c r="M45" s="12">
        <f t="shared" si="2"/>
        <v>100</v>
      </c>
      <c r="P45" s="11" t="s">
        <v>43</v>
      </c>
    </row>
    <row r="46" spans="1:16" s="11" customFormat="1" x14ac:dyDescent="0.2">
      <c r="A46" s="10"/>
      <c r="B46" s="10" t="s">
        <v>37</v>
      </c>
      <c r="C46" s="10"/>
      <c r="E46" s="12"/>
      <c r="F46" s="12"/>
      <c r="G46" s="10" t="s">
        <v>18</v>
      </c>
      <c r="H46" s="11">
        <v>3</v>
      </c>
      <c r="I46" s="11">
        <v>0</v>
      </c>
      <c r="J46" s="11">
        <v>3</v>
      </c>
      <c r="K46" s="11">
        <f t="shared" si="0"/>
        <v>3</v>
      </c>
      <c r="L46" s="12">
        <f t="shared" si="1"/>
        <v>100</v>
      </c>
      <c r="M46" s="12">
        <f t="shared" si="2"/>
        <v>100</v>
      </c>
    </row>
    <row r="47" spans="1:16" s="11" customFormat="1" x14ac:dyDescent="0.2">
      <c r="A47" s="10"/>
      <c r="B47" s="10"/>
      <c r="C47" s="10"/>
      <c r="E47" s="12"/>
      <c r="F47" s="12"/>
      <c r="G47" s="10" t="s">
        <v>19</v>
      </c>
      <c r="H47" s="11">
        <v>3</v>
      </c>
      <c r="I47" s="11">
        <v>0</v>
      </c>
      <c r="J47" s="11">
        <v>3</v>
      </c>
      <c r="K47" s="11">
        <f t="shared" si="0"/>
        <v>3</v>
      </c>
      <c r="L47" s="12">
        <f t="shared" si="1"/>
        <v>100</v>
      </c>
      <c r="M47" s="12">
        <f t="shared" si="2"/>
        <v>100</v>
      </c>
    </row>
    <row r="48" spans="1:16" s="11" customFormat="1" x14ac:dyDescent="0.2">
      <c r="A48" s="10">
        <v>15</v>
      </c>
      <c r="B48" s="10" t="s">
        <v>35</v>
      </c>
      <c r="C48" s="10" t="s">
        <v>44</v>
      </c>
      <c r="E48" s="12">
        <f t="shared" ref="E48:F48" si="12">AVERAGE(L48:L50)</f>
        <v>95.238095238095241</v>
      </c>
      <c r="F48" s="12">
        <f t="shared" si="12"/>
        <v>100</v>
      </c>
      <c r="G48" s="10" t="s">
        <v>17</v>
      </c>
      <c r="H48" s="11">
        <v>6</v>
      </c>
      <c r="I48" s="11">
        <v>1</v>
      </c>
      <c r="J48" s="11">
        <v>7</v>
      </c>
      <c r="K48" s="11">
        <f t="shared" si="0"/>
        <v>7</v>
      </c>
      <c r="L48" s="12">
        <f t="shared" si="1"/>
        <v>85.714285714285708</v>
      </c>
      <c r="M48" s="12">
        <f t="shared" si="2"/>
        <v>100</v>
      </c>
      <c r="P48" s="11" t="s">
        <v>45</v>
      </c>
    </row>
    <row r="49" spans="1:16" s="11" customFormat="1" x14ac:dyDescent="0.2">
      <c r="A49" s="10"/>
      <c r="B49" s="10" t="s">
        <v>37</v>
      </c>
      <c r="C49" s="10"/>
      <c r="E49" s="12"/>
      <c r="F49" s="12"/>
      <c r="G49" s="10" t="s">
        <v>18</v>
      </c>
      <c r="H49" s="11">
        <v>8</v>
      </c>
      <c r="I49" s="11">
        <v>0</v>
      </c>
      <c r="J49" s="11">
        <v>8</v>
      </c>
      <c r="K49" s="11">
        <f t="shared" si="0"/>
        <v>8</v>
      </c>
      <c r="L49" s="12">
        <f t="shared" si="1"/>
        <v>100</v>
      </c>
      <c r="M49" s="12">
        <f t="shared" si="2"/>
        <v>100</v>
      </c>
    </row>
    <row r="50" spans="1:16" s="11" customFormat="1" x14ac:dyDescent="0.2">
      <c r="A50" s="10"/>
      <c r="B50" s="10"/>
      <c r="C50" s="10"/>
      <c r="E50" s="12"/>
      <c r="F50" s="12"/>
      <c r="G50" s="10" t="s">
        <v>19</v>
      </c>
      <c r="H50" s="11">
        <v>4</v>
      </c>
      <c r="I50" s="11">
        <v>0</v>
      </c>
      <c r="J50" s="11">
        <v>4</v>
      </c>
      <c r="K50" s="11">
        <f t="shared" si="0"/>
        <v>4</v>
      </c>
      <c r="L50" s="12">
        <f t="shared" si="1"/>
        <v>100</v>
      </c>
      <c r="M50" s="12">
        <f t="shared" si="2"/>
        <v>100</v>
      </c>
    </row>
    <row r="51" spans="1:16" s="11" customFormat="1" x14ac:dyDescent="0.2">
      <c r="A51" s="10">
        <v>16</v>
      </c>
      <c r="B51" s="10" t="s">
        <v>35</v>
      </c>
      <c r="C51" s="10" t="s">
        <v>46</v>
      </c>
      <c r="E51" s="12">
        <f t="shared" ref="E51:F51" si="13">AVERAGE(L51:L53)</f>
        <v>100</v>
      </c>
      <c r="F51" s="12">
        <f t="shared" si="13"/>
        <v>100</v>
      </c>
      <c r="G51" s="10" t="s">
        <v>17</v>
      </c>
      <c r="H51" s="11">
        <v>6</v>
      </c>
      <c r="I51" s="11">
        <v>0</v>
      </c>
      <c r="J51" s="11">
        <v>6</v>
      </c>
      <c r="K51" s="11">
        <f t="shared" si="0"/>
        <v>6</v>
      </c>
      <c r="L51" s="12">
        <f t="shared" si="1"/>
        <v>100</v>
      </c>
      <c r="M51" s="12">
        <f t="shared" si="2"/>
        <v>100</v>
      </c>
      <c r="P51" s="11" t="s">
        <v>47</v>
      </c>
    </row>
    <row r="52" spans="1:16" s="11" customFormat="1" x14ac:dyDescent="0.2">
      <c r="A52" s="10"/>
      <c r="B52" s="10" t="s">
        <v>37</v>
      </c>
      <c r="C52" s="10"/>
      <c r="E52" s="12"/>
      <c r="F52" s="12"/>
      <c r="G52" s="10" t="s">
        <v>18</v>
      </c>
      <c r="H52" s="11">
        <v>12</v>
      </c>
      <c r="I52" s="11">
        <v>0</v>
      </c>
      <c r="J52" s="11">
        <v>12</v>
      </c>
      <c r="K52" s="11">
        <f t="shared" si="0"/>
        <v>12</v>
      </c>
      <c r="L52" s="12">
        <f t="shared" si="1"/>
        <v>100</v>
      </c>
      <c r="M52" s="12">
        <f t="shared" si="2"/>
        <v>100</v>
      </c>
      <c r="P52" s="11" t="s">
        <v>48</v>
      </c>
    </row>
    <row r="53" spans="1:16" s="11" customFormat="1" x14ac:dyDescent="0.2">
      <c r="A53" s="10"/>
      <c r="B53" s="10"/>
      <c r="C53" s="10"/>
      <c r="E53" s="12"/>
      <c r="F53" s="12"/>
      <c r="G53" s="10" t="s">
        <v>19</v>
      </c>
      <c r="H53" s="11">
        <v>9</v>
      </c>
      <c r="I53" s="11">
        <v>0</v>
      </c>
      <c r="J53" s="11">
        <v>9</v>
      </c>
      <c r="K53" s="11">
        <f t="shared" si="0"/>
        <v>9</v>
      </c>
      <c r="L53" s="12">
        <f t="shared" si="1"/>
        <v>100</v>
      </c>
      <c r="M53" s="12">
        <f t="shared" si="2"/>
        <v>100</v>
      </c>
    </row>
    <row r="54" spans="1:16" s="11" customFormat="1" x14ac:dyDescent="0.2">
      <c r="A54" s="10">
        <v>17</v>
      </c>
      <c r="B54" s="10" t="s">
        <v>35</v>
      </c>
      <c r="C54" s="10" t="s">
        <v>49</v>
      </c>
      <c r="E54" s="12">
        <f t="shared" ref="E54:F54" si="14">AVERAGE(L54:L56)</f>
        <v>100</v>
      </c>
      <c r="F54" s="12">
        <f t="shared" si="14"/>
        <v>100</v>
      </c>
      <c r="G54" s="10" t="s">
        <v>17</v>
      </c>
      <c r="H54" s="11">
        <v>3</v>
      </c>
      <c r="I54" s="11">
        <v>0</v>
      </c>
      <c r="J54" s="11">
        <v>3</v>
      </c>
      <c r="K54" s="11">
        <f t="shared" si="0"/>
        <v>3</v>
      </c>
      <c r="L54" s="12">
        <f t="shared" si="1"/>
        <v>100</v>
      </c>
      <c r="M54" s="12">
        <f t="shared" si="2"/>
        <v>100</v>
      </c>
      <c r="P54" s="11" t="s">
        <v>50</v>
      </c>
    </row>
    <row r="55" spans="1:16" s="11" customFormat="1" x14ac:dyDescent="0.2">
      <c r="A55" s="10"/>
      <c r="B55" s="10" t="s">
        <v>37</v>
      </c>
      <c r="C55" s="10"/>
      <c r="E55" s="12"/>
      <c r="F55" s="12"/>
      <c r="G55" s="10" t="s">
        <v>18</v>
      </c>
      <c r="H55" s="11">
        <v>7</v>
      </c>
      <c r="I55" s="11">
        <v>0</v>
      </c>
      <c r="J55" s="11">
        <v>7</v>
      </c>
      <c r="K55" s="11">
        <f t="shared" si="0"/>
        <v>7</v>
      </c>
      <c r="L55" s="12">
        <f t="shared" si="1"/>
        <v>100</v>
      </c>
      <c r="M55" s="12">
        <f t="shared" si="2"/>
        <v>100</v>
      </c>
    </row>
    <row r="56" spans="1:16" s="11" customFormat="1" x14ac:dyDescent="0.2">
      <c r="A56" s="10"/>
      <c r="B56" s="10"/>
      <c r="C56" s="10"/>
      <c r="E56" s="12"/>
      <c r="F56" s="12"/>
      <c r="G56" s="10" t="s">
        <v>19</v>
      </c>
      <c r="H56" s="11">
        <v>8</v>
      </c>
      <c r="I56" s="11">
        <v>0</v>
      </c>
      <c r="J56" s="11">
        <v>8</v>
      </c>
      <c r="K56" s="11">
        <f t="shared" si="0"/>
        <v>8</v>
      </c>
      <c r="L56" s="12">
        <f t="shared" si="1"/>
        <v>100</v>
      </c>
      <c r="M56" s="12">
        <f t="shared" si="2"/>
        <v>100</v>
      </c>
    </row>
    <row r="57" spans="1:16" s="11" customFormat="1" x14ac:dyDescent="0.2">
      <c r="A57" s="10">
        <v>18</v>
      </c>
      <c r="B57" s="10" t="s">
        <v>35</v>
      </c>
      <c r="C57" s="10" t="s">
        <v>27</v>
      </c>
      <c r="E57" s="12">
        <f t="shared" ref="E57:F57" si="15">AVERAGE(L57:L59)</f>
        <v>86.666666666666671</v>
      </c>
      <c r="F57" s="12">
        <f t="shared" si="15"/>
        <v>86.666666666666671</v>
      </c>
      <c r="G57" s="10" t="s">
        <v>17</v>
      </c>
      <c r="H57" s="11">
        <v>4</v>
      </c>
      <c r="I57" s="11">
        <v>0</v>
      </c>
      <c r="J57" s="11">
        <v>5</v>
      </c>
      <c r="K57" s="11">
        <f t="shared" si="0"/>
        <v>4</v>
      </c>
      <c r="L57" s="12">
        <f t="shared" si="1"/>
        <v>80</v>
      </c>
      <c r="M57" s="12">
        <f t="shared" si="2"/>
        <v>80</v>
      </c>
      <c r="P57" s="11" t="s">
        <v>51</v>
      </c>
    </row>
    <row r="58" spans="1:16" s="11" customFormat="1" x14ac:dyDescent="0.2">
      <c r="A58" s="10"/>
      <c r="B58" s="10" t="s">
        <v>37</v>
      </c>
      <c r="C58" s="10"/>
      <c r="E58" s="12"/>
      <c r="F58" s="12"/>
      <c r="G58" s="10" t="s">
        <v>18</v>
      </c>
      <c r="H58" s="11">
        <v>3</v>
      </c>
      <c r="I58" s="11">
        <v>0</v>
      </c>
      <c r="J58" s="11">
        <v>3</v>
      </c>
      <c r="K58" s="11">
        <f t="shared" si="0"/>
        <v>3</v>
      </c>
      <c r="L58" s="12">
        <f t="shared" si="1"/>
        <v>100</v>
      </c>
      <c r="M58" s="12">
        <f t="shared" si="2"/>
        <v>100</v>
      </c>
    </row>
    <row r="59" spans="1:16" s="11" customFormat="1" x14ac:dyDescent="0.2">
      <c r="A59" s="10"/>
      <c r="B59" s="10"/>
      <c r="C59" s="10"/>
      <c r="E59" s="12"/>
      <c r="F59" s="12"/>
      <c r="G59" s="10" t="s">
        <v>19</v>
      </c>
      <c r="H59" s="11">
        <v>4</v>
      </c>
      <c r="I59" s="11">
        <v>0</v>
      </c>
      <c r="J59" s="11">
        <v>5</v>
      </c>
      <c r="K59" s="11">
        <f t="shared" si="0"/>
        <v>4</v>
      </c>
      <c r="L59" s="12">
        <f t="shared" si="1"/>
        <v>80</v>
      </c>
      <c r="M59" s="12">
        <f t="shared" si="2"/>
        <v>80</v>
      </c>
    </row>
    <row r="60" spans="1:16" x14ac:dyDescent="0.2">
      <c r="A60" s="7">
        <v>19</v>
      </c>
      <c r="B60" s="7" t="s">
        <v>52</v>
      </c>
      <c r="C60" s="10" t="s">
        <v>16</v>
      </c>
      <c r="E60" s="12">
        <f t="shared" ref="E60:F60" si="16">AVERAGE(L60:L62)</f>
        <v>2.2127329192546585</v>
      </c>
      <c r="F60" s="12">
        <f t="shared" si="16"/>
        <v>3.411252867774607</v>
      </c>
      <c r="G60" s="7" t="s">
        <v>17</v>
      </c>
      <c r="H60" s="8">
        <v>5</v>
      </c>
      <c r="I60" s="8">
        <v>1</v>
      </c>
      <c r="J60" s="8">
        <v>112</v>
      </c>
      <c r="K60" s="8">
        <f t="shared" si="0"/>
        <v>6</v>
      </c>
      <c r="L60" s="9">
        <f t="shared" si="1"/>
        <v>4.4642857142857144</v>
      </c>
      <c r="M60" s="9">
        <f t="shared" si="2"/>
        <v>5.3571428571428568</v>
      </c>
      <c r="N60" s="8">
        <v>0</v>
      </c>
      <c r="O60" s="8">
        <v>2</v>
      </c>
      <c r="P60" s="8" t="s">
        <v>53</v>
      </c>
    </row>
    <row r="61" spans="1:16" x14ac:dyDescent="0.2">
      <c r="A61" s="7"/>
      <c r="B61" s="7" t="s">
        <v>54</v>
      </c>
      <c r="C61" s="10"/>
      <c r="E61" s="12"/>
      <c r="F61" s="12"/>
      <c r="G61" s="7" t="s">
        <v>18</v>
      </c>
      <c r="H61" s="8">
        <v>2</v>
      </c>
      <c r="I61" s="8">
        <v>0</v>
      </c>
      <c r="J61" s="8">
        <v>92</v>
      </c>
      <c r="K61" s="8">
        <f t="shared" si="0"/>
        <v>2</v>
      </c>
      <c r="L61" s="9">
        <f t="shared" si="1"/>
        <v>2.1739130434782608</v>
      </c>
      <c r="M61" s="9">
        <f t="shared" si="2"/>
        <v>2.1739130434782608</v>
      </c>
      <c r="N61" s="8">
        <v>0</v>
      </c>
      <c r="O61" s="8">
        <v>2</v>
      </c>
      <c r="P61" s="8"/>
    </row>
    <row r="62" spans="1:16" x14ac:dyDescent="0.2">
      <c r="A62" s="7"/>
      <c r="B62" s="7"/>
      <c r="C62" s="10"/>
      <c r="E62" s="12"/>
      <c r="F62" s="12"/>
      <c r="G62" s="7" t="s">
        <v>19</v>
      </c>
      <c r="H62" s="8">
        <v>0</v>
      </c>
      <c r="I62" s="8">
        <v>2</v>
      </c>
      <c r="J62" s="8">
        <v>74</v>
      </c>
      <c r="K62" s="8">
        <f t="shared" si="0"/>
        <v>2</v>
      </c>
      <c r="L62" s="9">
        <f t="shared" si="1"/>
        <v>0</v>
      </c>
      <c r="M62" s="9">
        <f t="shared" si="2"/>
        <v>2.7027027027027026</v>
      </c>
      <c r="N62" s="8">
        <v>0</v>
      </c>
      <c r="O62" s="8">
        <v>1</v>
      </c>
      <c r="P62" s="8"/>
    </row>
    <row r="63" spans="1:16" x14ac:dyDescent="0.2">
      <c r="A63" s="7">
        <v>20</v>
      </c>
      <c r="B63" s="7" t="s">
        <v>52</v>
      </c>
      <c r="C63" s="10" t="s">
        <v>20</v>
      </c>
      <c r="E63" s="12">
        <f t="shared" ref="E63:F63" si="17">AVERAGE(L63:L65)</f>
        <v>2.5938050194471778</v>
      </c>
      <c r="F63" s="12">
        <f t="shared" si="17"/>
        <v>6.0961714832740883</v>
      </c>
      <c r="G63" s="7" t="s">
        <v>17</v>
      </c>
      <c r="H63" s="8">
        <v>3</v>
      </c>
      <c r="I63" s="8">
        <v>3</v>
      </c>
      <c r="J63" s="8">
        <v>87</v>
      </c>
      <c r="K63" s="8">
        <f t="shared" si="0"/>
        <v>6</v>
      </c>
      <c r="L63" s="9">
        <f t="shared" si="1"/>
        <v>3.4482758620689653</v>
      </c>
      <c r="M63" s="9">
        <f t="shared" si="2"/>
        <v>6.8965517241379306</v>
      </c>
      <c r="N63" s="8">
        <v>0</v>
      </c>
      <c r="O63" s="8">
        <v>2</v>
      </c>
      <c r="P63" s="8" t="s">
        <v>55</v>
      </c>
    </row>
    <row r="64" spans="1:16" x14ac:dyDescent="0.2">
      <c r="A64" s="7"/>
      <c r="B64" s="7" t="s">
        <v>54</v>
      </c>
      <c r="C64" s="10"/>
      <c r="E64" s="12"/>
      <c r="F64" s="12"/>
      <c r="G64" s="7" t="s">
        <v>18</v>
      </c>
      <c r="H64" s="8">
        <v>2</v>
      </c>
      <c r="I64" s="8">
        <v>0</v>
      </c>
      <c r="J64" s="8">
        <v>101</v>
      </c>
      <c r="K64" s="8">
        <f t="shared" si="0"/>
        <v>2</v>
      </c>
      <c r="L64" s="9">
        <f t="shared" si="1"/>
        <v>1.9801980198019802</v>
      </c>
      <c r="M64" s="9">
        <f t="shared" si="2"/>
        <v>1.9801980198019802</v>
      </c>
      <c r="N64" s="8">
        <v>0</v>
      </c>
      <c r="O64" s="8">
        <v>0</v>
      </c>
      <c r="P64" s="8"/>
    </row>
    <row r="65" spans="1:16" x14ac:dyDescent="0.2">
      <c r="A65" s="7"/>
      <c r="B65" s="7"/>
      <c r="C65" s="10"/>
      <c r="E65" s="12"/>
      <c r="F65" s="12"/>
      <c r="G65" s="7" t="s">
        <v>19</v>
      </c>
      <c r="H65" s="8">
        <v>2</v>
      </c>
      <c r="I65" s="8">
        <v>6</v>
      </c>
      <c r="J65" s="8">
        <v>85</v>
      </c>
      <c r="K65" s="8">
        <f t="shared" si="0"/>
        <v>8</v>
      </c>
      <c r="L65" s="9">
        <f t="shared" si="1"/>
        <v>2.3529411764705883</v>
      </c>
      <c r="M65" s="9">
        <f t="shared" si="2"/>
        <v>9.4117647058823533</v>
      </c>
      <c r="N65" s="8">
        <v>0</v>
      </c>
      <c r="O65" s="8">
        <v>1</v>
      </c>
      <c r="P65" s="8" t="s">
        <v>56</v>
      </c>
    </row>
    <row r="66" spans="1:16" x14ac:dyDescent="0.2">
      <c r="A66" s="7">
        <v>21</v>
      </c>
      <c r="B66" s="7" t="s">
        <v>52</v>
      </c>
      <c r="C66" s="10" t="s">
        <v>21</v>
      </c>
      <c r="E66" s="12">
        <f t="shared" ref="E66:F66" si="18">AVERAGE(L66:L68)</f>
        <v>4.206379307230943</v>
      </c>
      <c r="F66" s="12">
        <f t="shared" si="18"/>
        <v>7.0234934645512865</v>
      </c>
      <c r="G66" s="7" t="s">
        <v>17</v>
      </c>
      <c r="H66" s="8">
        <v>8</v>
      </c>
      <c r="I66" s="8">
        <v>5</v>
      </c>
      <c r="J66" s="8">
        <v>97</v>
      </c>
      <c r="K66" s="8">
        <f t="shared" si="0"/>
        <v>13</v>
      </c>
      <c r="L66" s="9">
        <f t="shared" si="1"/>
        <v>8.2474226804123703</v>
      </c>
      <c r="M66" s="9">
        <f t="shared" si="2"/>
        <v>13.402061855670103</v>
      </c>
      <c r="N66" s="8">
        <v>0</v>
      </c>
      <c r="O66" s="8">
        <v>2</v>
      </c>
      <c r="P66" s="8" t="s">
        <v>57</v>
      </c>
    </row>
    <row r="67" spans="1:16" x14ac:dyDescent="0.2">
      <c r="A67" s="7"/>
      <c r="B67" s="7" t="s">
        <v>54</v>
      </c>
      <c r="C67" s="10"/>
      <c r="G67" s="7" t="s">
        <v>18</v>
      </c>
      <c r="H67" s="8">
        <v>2</v>
      </c>
      <c r="I67" s="8">
        <v>3</v>
      </c>
      <c r="J67" s="8">
        <v>91</v>
      </c>
      <c r="K67" s="8">
        <f t="shared" si="0"/>
        <v>5</v>
      </c>
      <c r="L67" s="9">
        <f t="shared" si="1"/>
        <v>2.197802197802198</v>
      </c>
      <c r="M67" s="9">
        <f t="shared" si="2"/>
        <v>5.4945054945054945</v>
      </c>
      <c r="N67" s="8">
        <v>0</v>
      </c>
      <c r="O67" s="8">
        <v>2</v>
      </c>
      <c r="P67" s="8" t="s">
        <v>58</v>
      </c>
    </row>
    <row r="68" spans="1:16" x14ac:dyDescent="0.2">
      <c r="A68" s="7"/>
      <c r="B68" s="7"/>
      <c r="C68" s="10"/>
      <c r="G68" s="7" t="s">
        <v>19</v>
      </c>
      <c r="H68" s="8">
        <v>2</v>
      </c>
      <c r="I68" s="8">
        <v>0</v>
      </c>
      <c r="J68" s="8">
        <v>92</v>
      </c>
      <c r="K68" s="8">
        <f t="shared" si="0"/>
        <v>2</v>
      </c>
      <c r="L68" s="9">
        <f t="shared" si="1"/>
        <v>2.1739130434782608</v>
      </c>
      <c r="M68" s="9">
        <f t="shared" si="2"/>
        <v>2.1739130434782608</v>
      </c>
      <c r="N68" s="8">
        <v>0</v>
      </c>
      <c r="O68" s="8">
        <v>0</v>
      </c>
      <c r="P68" s="8" t="s">
        <v>59</v>
      </c>
    </row>
    <row r="69" spans="1:16" x14ac:dyDescent="0.2">
      <c r="A69" s="7">
        <v>22</v>
      </c>
      <c r="B69" s="7" t="s">
        <v>52</v>
      </c>
      <c r="C69" s="10" t="s">
        <v>23</v>
      </c>
      <c r="E69" s="12">
        <f t="shared" ref="E69:F69" si="19">AVERAGE(L69:L71)</f>
        <v>4.9358042635658919</v>
      </c>
      <c r="F69" s="12">
        <f t="shared" si="19"/>
        <v>13.867894056847547</v>
      </c>
      <c r="G69" s="7" t="s">
        <v>17</v>
      </c>
      <c r="H69" s="8">
        <v>6</v>
      </c>
      <c r="I69" s="8">
        <v>13</v>
      </c>
      <c r="J69" s="8">
        <v>129</v>
      </c>
      <c r="K69" s="8">
        <f t="shared" si="0"/>
        <v>19</v>
      </c>
      <c r="L69" s="9">
        <f t="shared" si="1"/>
        <v>4.6511627906976747</v>
      </c>
      <c r="M69" s="9">
        <f t="shared" si="2"/>
        <v>14.728682170542637</v>
      </c>
      <c r="N69" s="8">
        <v>0</v>
      </c>
      <c r="O69" s="8">
        <v>2</v>
      </c>
      <c r="P69" s="8" t="s">
        <v>60</v>
      </c>
    </row>
    <row r="70" spans="1:16" x14ac:dyDescent="0.2">
      <c r="A70" s="7"/>
      <c r="B70" s="7" t="s">
        <v>54</v>
      </c>
      <c r="C70" s="10"/>
      <c r="E70" s="12"/>
      <c r="F70" s="12"/>
      <c r="G70" s="7" t="s">
        <v>18</v>
      </c>
      <c r="H70" s="8">
        <v>5</v>
      </c>
      <c r="I70" s="8">
        <v>9</v>
      </c>
      <c r="J70" s="8">
        <v>80</v>
      </c>
      <c r="K70" s="8">
        <f t="shared" si="0"/>
        <v>14</v>
      </c>
      <c r="L70" s="9">
        <f t="shared" si="1"/>
        <v>6.25</v>
      </c>
      <c r="M70" s="9">
        <f t="shared" si="2"/>
        <v>17.5</v>
      </c>
      <c r="N70" s="8">
        <v>0</v>
      </c>
      <c r="O70" s="8">
        <v>0</v>
      </c>
      <c r="P70" s="8" t="s">
        <v>61</v>
      </c>
    </row>
    <row r="71" spans="1:16" x14ac:dyDescent="0.2">
      <c r="A71" s="7"/>
      <c r="B71" s="7"/>
      <c r="C71" s="10"/>
      <c r="E71" s="12"/>
      <c r="F71" s="12"/>
      <c r="G71" s="7" t="s">
        <v>19</v>
      </c>
      <c r="H71" s="8">
        <v>5</v>
      </c>
      <c r="I71" s="8">
        <v>7</v>
      </c>
      <c r="J71" s="8">
        <v>128</v>
      </c>
      <c r="K71" s="8">
        <f t="shared" ref="K71:K134" si="20">H71+I71</f>
        <v>12</v>
      </c>
      <c r="L71" s="9">
        <f t="shared" ref="L71:L134" si="21">H71/J71*100</f>
        <v>3.90625</v>
      </c>
      <c r="M71" s="9">
        <f t="shared" ref="M71:M134" si="22">K71/J71*100</f>
        <v>9.375</v>
      </c>
      <c r="N71" s="8">
        <v>0</v>
      </c>
      <c r="O71" s="8">
        <v>2</v>
      </c>
      <c r="P71" s="8"/>
    </row>
    <row r="72" spans="1:16" x14ac:dyDescent="0.2">
      <c r="A72" s="7">
        <v>23</v>
      </c>
      <c r="B72" s="7" t="s">
        <v>52</v>
      </c>
      <c r="C72" s="10" t="s">
        <v>25</v>
      </c>
      <c r="E72" s="12">
        <f t="shared" ref="E72:F72" si="23">AVERAGE(L72:L74)</f>
        <v>1.4434852916696392</v>
      </c>
      <c r="F72" s="12">
        <f t="shared" si="23"/>
        <v>9.5918221751138919</v>
      </c>
      <c r="G72" s="7" t="s">
        <v>17</v>
      </c>
      <c r="H72" s="8">
        <v>2</v>
      </c>
      <c r="I72" s="8">
        <v>11</v>
      </c>
      <c r="J72" s="8">
        <v>131</v>
      </c>
      <c r="K72" s="8">
        <f t="shared" si="20"/>
        <v>13</v>
      </c>
      <c r="L72" s="9">
        <f t="shared" si="21"/>
        <v>1.5267175572519083</v>
      </c>
      <c r="M72" s="9">
        <f t="shared" si="22"/>
        <v>9.9236641221374047</v>
      </c>
      <c r="N72" s="8">
        <v>0</v>
      </c>
      <c r="O72" s="8">
        <v>2</v>
      </c>
      <c r="P72" s="8" t="s">
        <v>62</v>
      </c>
    </row>
    <row r="73" spans="1:16" x14ac:dyDescent="0.2">
      <c r="A73" s="7"/>
      <c r="B73" s="7" t="s">
        <v>54</v>
      </c>
      <c r="C73" s="10"/>
      <c r="E73" s="12"/>
      <c r="F73" s="12"/>
      <c r="G73" s="7" t="s">
        <v>18</v>
      </c>
      <c r="H73" s="8">
        <v>3</v>
      </c>
      <c r="I73" s="8">
        <v>8</v>
      </c>
      <c r="J73" s="8">
        <v>107</v>
      </c>
      <c r="K73" s="8">
        <f t="shared" si="20"/>
        <v>11</v>
      </c>
      <c r="L73" s="9">
        <f t="shared" si="21"/>
        <v>2.8037383177570092</v>
      </c>
      <c r="M73" s="9">
        <f t="shared" si="22"/>
        <v>10.2803738317757</v>
      </c>
      <c r="N73" s="8">
        <v>0</v>
      </c>
      <c r="O73" s="8">
        <v>0</v>
      </c>
      <c r="P73" s="8" t="s">
        <v>63</v>
      </c>
    </row>
    <row r="74" spans="1:16" x14ac:dyDescent="0.2">
      <c r="A74" s="7"/>
      <c r="B74" s="7"/>
      <c r="C74" s="10"/>
      <c r="E74" s="12"/>
      <c r="F74" s="12"/>
      <c r="G74" s="7" t="s">
        <v>19</v>
      </c>
      <c r="H74" s="8">
        <v>0</v>
      </c>
      <c r="I74" s="8">
        <v>6</v>
      </c>
      <c r="J74" s="8">
        <v>70</v>
      </c>
      <c r="K74" s="8">
        <f t="shared" si="20"/>
        <v>6</v>
      </c>
      <c r="L74" s="9">
        <f t="shared" si="21"/>
        <v>0</v>
      </c>
      <c r="M74" s="9">
        <f t="shared" si="22"/>
        <v>8.5714285714285712</v>
      </c>
      <c r="N74" s="8">
        <v>0</v>
      </c>
      <c r="O74" s="8">
        <v>2</v>
      </c>
      <c r="P74" s="8"/>
    </row>
    <row r="75" spans="1:16" x14ac:dyDescent="0.2">
      <c r="A75" s="7">
        <v>24</v>
      </c>
      <c r="B75" s="7" t="s">
        <v>52</v>
      </c>
      <c r="C75" s="10" t="s">
        <v>27</v>
      </c>
      <c r="E75" s="12">
        <f t="shared" ref="E75:F75" si="24">AVERAGE(L75:L77)</f>
        <v>2.1664716842150873</v>
      </c>
      <c r="F75" s="12">
        <f t="shared" si="24"/>
        <v>10.195415745916202</v>
      </c>
      <c r="G75" s="7" t="s">
        <v>17</v>
      </c>
      <c r="H75" s="8">
        <v>3</v>
      </c>
      <c r="I75" s="8">
        <v>21</v>
      </c>
      <c r="J75" s="8">
        <v>157</v>
      </c>
      <c r="K75" s="8">
        <f t="shared" si="20"/>
        <v>24</v>
      </c>
      <c r="L75" s="9">
        <f t="shared" si="21"/>
        <v>1.910828025477707</v>
      </c>
      <c r="M75" s="9">
        <f t="shared" si="22"/>
        <v>15.286624203821656</v>
      </c>
      <c r="N75" s="8">
        <v>0</v>
      </c>
      <c r="O75" s="8">
        <v>1</v>
      </c>
      <c r="P75" s="8" t="s">
        <v>64</v>
      </c>
    </row>
    <row r="76" spans="1:16" x14ac:dyDescent="0.2">
      <c r="A76" s="7"/>
      <c r="B76" s="7" t="s">
        <v>54</v>
      </c>
      <c r="C76" s="7"/>
      <c r="G76" s="7" t="s">
        <v>18</v>
      </c>
      <c r="H76" s="8">
        <v>4</v>
      </c>
      <c r="I76" s="8">
        <v>4</v>
      </c>
      <c r="J76" s="8">
        <v>157</v>
      </c>
      <c r="K76" s="8">
        <f t="shared" si="20"/>
        <v>8</v>
      </c>
      <c r="L76" s="9">
        <f t="shared" si="21"/>
        <v>2.547770700636943</v>
      </c>
      <c r="M76" s="9">
        <f t="shared" si="22"/>
        <v>5.095541401273886</v>
      </c>
      <c r="N76" s="8">
        <v>2</v>
      </c>
      <c r="O76" s="8">
        <v>3</v>
      </c>
      <c r="P76" s="8" t="s">
        <v>65</v>
      </c>
    </row>
    <row r="77" spans="1:16" x14ac:dyDescent="0.2">
      <c r="A77" s="7"/>
      <c r="B77" s="7"/>
      <c r="C77" s="7"/>
      <c r="G77" s="7" t="s">
        <v>19</v>
      </c>
      <c r="H77" s="8">
        <v>3</v>
      </c>
      <c r="I77" s="8">
        <v>12</v>
      </c>
      <c r="J77" s="8">
        <v>147</v>
      </c>
      <c r="K77" s="8">
        <f t="shared" si="20"/>
        <v>15</v>
      </c>
      <c r="L77" s="9">
        <f t="shared" si="21"/>
        <v>2.0408163265306123</v>
      </c>
      <c r="M77" s="9">
        <f t="shared" si="22"/>
        <v>10.204081632653061</v>
      </c>
      <c r="N77" s="8">
        <v>0</v>
      </c>
      <c r="O77" s="8">
        <v>6</v>
      </c>
      <c r="P77" s="8" t="s">
        <v>66</v>
      </c>
    </row>
    <row r="78" spans="1:16" x14ac:dyDescent="0.2">
      <c r="A78" s="2">
        <v>25</v>
      </c>
      <c r="B78" s="2" t="s">
        <v>67</v>
      </c>
      <c r="C78" s="2" t="s">
        <v>16</v>
      </c>
      <c r="D78" t="s">
        <v>295</v>
      </c>
      <c r="E78" s="14">
        <f t="shared" ref="E78:F78" si="25">AVERAGE(L78:L80)</f>
        <v>12.905982905982905</v>
      </c>
      <c r="F78" s="4">
        <f t="shared" si="25"/>
        <v>12.905982905982905</v>
      </c>
      <c r="G78" s="2" t="s">
        <v>17</v>
      </c>
      <c r="H78">
        <v>3</v>
      </c>
      <c r="I78">
        <v>0</v>
      </c>
      <c r="J78">
        <v>20</v>
      </c>
      <c r="K78">
        <f t="shared" si="20"/>
        <v>3</v>
      </c>
      <c r="L78" s="4">
        <f t="shared" si="21"/>
        <v>15</v>
      </c>
      <c r="M78" s="4">
        <f t="shared" si="22"/>
        <v>15</v>
      </c>
      <c r="N78">
        <v>0</v>
      </c>
      <c r="O78">
        <v>0</v>
      </c>
      <c r="P78" t="s">
        <v>68</v>
      </c>
    </row>
    <row r="79" spans="1:16" x14ac:dyDescent="0.2">
      <c r="E79" s="14"/>
      <c r="G79" s="2" t="s">
        <v>18</v>
      </c>
      <c r="H79">
        <v>2</v>
      </c>
      <c r="I79">
        <v>0</v>
      </c>
      <c r="J79">
        <v>24</v>
      </c>
      <c r="K79">
        <f t="shared" si="20"/>
        <v>2</v>
      </c>
      <c r="L79" s="4">
        <f t="shared" si="21"/>
        <v>8.3333333333333321</v>
      </c>
      <c r="M79" s="4">
        <f t="shared" si="22"/>
        <v>8.3333333333333321</v>
      </c>
      <c r="N79">
        <v>0</v>
      </c>
      <c r="O79">
        <v>2</v>
      </c>
    </row>
    <row r="80" spans="1:16" x14ac:dyDescent="0.2">
      <c r="E80" s="14"/>
      <c r="G80" s="2" t="s">
        <v>19</v>
      </c>
      <c r="H80">
        <v>4</v>
      </c>
      <c r="I80">
        <v>0</v>
      </c>
      <c r="J80">
        <v>26</v>
      </c>
      <c r="K80">
        <f t="shared" si="20"/>
        <v>4</v>
      </c>
      <c r="L80" s="4">
        <f t="shared" si="21"/>
        <v>15.384615384615385</v>
      </c>
      <c r="M80" s="4">
        <f t="shared" si="22"/>
        <v>15.384615384615385</v>
      </c>
      <c r="N80">
        <v>0</v>
      </c>
      <c r="O80">
        <v>4</v>
      </c>
    </row>
    <row r="81" spans="1:16" x14ac:dyDescent="0.2">
      <c r="A81" s="2">
        <v>26</v>
      </c>
      <c r="B81" s="2" t="s">
        <v>67</v>
      </c>
      <c r="C81" s="2" t="s">
        <v>20</v>
      </c>
      <c r="D81" t="s">
        <v>295</v>
      </c>
      <c r="E81" s="14">
        <f t="shared" ref="E81:F81" si="26">AVERAGE(L81:L83)</f>
        <v>0</v>
      </c>
      <c r="F81" s="4">
        <f t="shared" si="26"/>
        <v>1.4492753623188406</v>
      </c>
      <c r="G81" s="2" t="s">
        <v>17</v>
      </c>
      <c r="H81">
        <v>0</v>
      </c>
      <c r="I81">
        <v>0</v>
      </c>
      <c r="J81">
        <v>21</v>
      </c>
      <c r="K81">
        <f t="shared" si="20"/>
        <v>0</v>
      </c>
      <c r="L81" s="4">
        <f t="shared" si="21"/>
        <v>0</v>
      </c>
      <c r="M81" s="4">
        <f t="shared" si="22"/>
        <v>0</v>
      </c>
      <c r="N81">
        <v>0</v>
      </c>
      <c r="O81">
        <v>4</v>
      </c>
      <c r="P81" t="s">
        <v>69</v>
      </c>
    </row>
    <row r="82" spans="1:16" x14ac:dyDescent="0.2">
      <c r="E82" s="14"/>
      <c r="G82" s="2" t="s">
        <v>18</v>
      </c>
      <c r="H82">
        <v>0</v>
      </c>
      <c r="I82">
        <v>0</v>
      </c>
      <c r="J82">
        <v>15</v>
      </c>
      <c r="K82">
        <f t="shared" si="20"/>
        <v>0</v>
      </c>
      <c r="L82" s="4">
        <f t="shared" si="21"/>
        <v>0</v>
      </c>
      <c r="M82" s="4">
        <f t="shared" si="22"/>
        <v>0</v>
      </c>
      <c r="N82">
        <v>0</v>
      </c>
      <c r="O82">
        <v>2</v>
      </c>
    </row>
    <row r="83" spans="1:16" x14ac:dyDescent="0.2">
      <c r="E83" s="14"/>
      <c r="G83" s="2" t="s">
        <v>19</v>
      </c>
      <c r="H83">
        <v>0</v>
      </c>
      <c r="I83">
        <v>1</v>
      </c>
      <c r="J83">
        <v>23</v>
      </c>
      <c r="K83">
        <f t="shared" si="20"/>
        <v>1</v>
      </c>
      <c r="L83" s="4">
        <f t="shared" si="21"/>
        <v>0</v>
      </c>
      <c r="M83" s="4">
        <f t="shared" si="22"/>
        <v>4.3478260869565215</v>
      </c>
      <c r="N83">
        <v>0</v>
      </c>
      <c r="O83">
        <v>1</v>
      </c>
      <c r="P83" t="s">
        <v>70</v>
      </c>
    </row>
    <row r="84" spans="1:16" x14ac:dyDescent="0.2">
      <c r="A84" s="2">
        <v>27</v>
      </c>
      <c r="B84" s="2" t="s">
        <v>67</v>
      </c>
      <c r="C84" s="2" t="s">
        <v>21</v>
      </c>
      <c r="D84" t="s">
        <v>295</v>
      </c>
      <c r="E84" s="14">
        <f t="shared" ref="E84:F84" si="27">AVERAGE(L84:L86)</f>
        <v>0.77519379844961245</v>
      </c>
      <c r="F84" s="4">
        <f t="shared" si="27"/>
        <v>1.5503875968992249</v>
      </c>
      <c r="G84" s="2" t="s">
        <v>17</v>
      </c>
      <c r="H84">
        <v>1</v>
      </c>
      <c r="I84">
        <v>1</v>
      </c>
      <c r="J84">
        <v>43</v>
      </c>
      <c r="K84">
        <f t="shared" si="20"/>
        <v>2</v>
      </c>
      <c r="L84" s="4">
        <f t="shared" si="21"/>
        <v>2.3255813953488373</v>
      </c>
      <c r="M84" s="4">
        <f t="shared" si="22"/>
        <v>4.6511627906976747</v>
      </c>
      <c r="N84">
        <v>11</v>
      </c>
      <c r="O84">
        <v>3</v>
      </c>
      <c r="P84" t="s">
        <v>71</v>
      </c>
    </row>
    <row r="85" spans="1:16" x14ac:dyDescent="0.2">
      <c r="E85" s="14"/>
      <c r="G85" s="2" t="s">
        <v>18</v>
      </c>
      <c r="H85">
        <v>0</v>
      </c>
      <c r="I85">
        <v>0</v>
      </c>
      <c r="J85">
        <v>41</v>
      </c>
      <c r="K85">
        <f t="shared" si="20"/>
        <v>0</v>
      </c>
      <c r="L85" s="4">
        <f t="shared" si="21"/>
        <v>0</v>
      </c>
      <c r="M85" s="4">
        <f t="shared" si="22"/>
        <v>0</v>
      </c>
      <c r="N85">
        <v>8</v>
      </c>
      <c r="O85">
        <v>0</v>
      </c>
      <c r="P85" t="s">
        <v>72</v>
      </c>
    </row>
    <row r="86" spans="1:16" x14ac:dyDescent="0.2">
      <c r="E86" s="14"/>
      <c r="G86" s="2" t="s">
        <v>19</v>
      </c>
      <c r="H86">
        <v>0</v>
      </c>
      <c r="I86">
        <v>0</v>
      </c>
      <c r="J86">
        <v>31</v>
      </c>
      <c r="K86">
        <f t="shared" si="20"/>
        <v>0</v>
      </c>
      <c r="L86" s="4">
        <f t="shared" si="21"/>
        <v>0</v>
      </c>
      <c r="M86" s="4">
        <f t="shared" si="22"/>
        <v>0</v>
      </c>
      <c r="N86">
        <v>2</v>
      </c>
      <c r="O86">
        <v>3</v>
      </c>
      <c r="P86" t="s">
        <v>73</v>
      </c>
    </row>
    <row r="87" spans="1:16" x14ac:dyDescent="0.2">
      <c r="A87" s="2">
        <v>28</v>
      </c>
      <c r="B87" s="2" t="s">
        <v>67</v>
      </c>
      <c r="C87" s="2" t="s">
        <v>23</v>
      </c>
      <c r="D87" t="s">
        <v>296</v>
      </c>
      <c r="E87" s="15">
        <f t="shared" ref="E87:F87" si="28">AVERAGE(L87:L89)</f>
        <v>91.001642036124792</v>
      </c>
      <c r="F87" s="4">
        <f t="shared" si="28"/>
        <v>94.44991789819376</v>
      </c>
      <c r="G87" s="2" t="s">
        <v>17</v>
      </c>
      <c r="H87">
        <v>25</v>
      </c>
      <c r="I87">
        <v>3</v>
      </c>
      <c r="J87">
        <v>29</v>
      </c>
      <c r="K87">
        <f t="shared" si="20"/>
        <v>28</v>
      </c>
      <c r="L87" s="4">
        <f t="shared" si="21"/>
        <v>86.206896551724128</v>
      </c>
      <c r="M87" s="4">
        <f t="shared" si="22"/>
        <v>96.551724137931032</v>
      </c>
      <c r="N87">
        <v>0</v>
      </c>
      <c r="O87">
        <v>1</v>
      </c>
      <c r="P87" t="s">
        <v>74</v>
      </c>
    </row>
    <row r="88" spans="1:16" x14ac:dyDescent="0.2">
      <c r="E88" s="15"/>
      <c r="G88" s="2" t="s">
        <v>18</v>
      </c>
      <c r="H88">
        <v>34</v>
      </c>
      <c r="I88">
        <v>0</v>
      </c>
      <c r="J88">
        <v>35</v>
      </c>
      <c r="K88">
        <f t="shared" si="20"/>
        <v>34</v>
      </c>
      <c r="L88" s="4">
        <f t="shared" si="21"/>
        <v>97.142857142857139</v>
      </c>
      <c r="M88" s="4">
        <f t="shared" si="22"/>
        <v>97.142857142857139</v>
      </c>
      <c r="N88">
        <v>0</v>
      </c>
      <c r="O88">
        <v>1</v>
      </c>
      <c r="P88" t="s">
        <v>75</v>
      </c>
    </row>
    <row r="89" spans="1:16" x14ac:dyDescent="0.2">
      <c r="E89" s="15"/>
      <c r="G89" s="2" t="s">
        <v>19</v>
      </c>
      <c r="H89">
        <v>26</v>
      </c>
      <c r="I89">
        <v>0</v>
      </c>
      <c r="J89">
        <v>29</v>
      </c>
      <c r="K89">
        <f t="shared" si="20"/>
        <v>26</v>
      </c>
      <c r="L89" s="4">
        <f t="shared" si="21"/>
        <v>89.65517241379311</v>
      </c>
      <c r="M89" s="4">
        <f t="shared" si="22"/>
        <v>89.65517241379311</v>
      </c>
      <c r="N89">
        <v>1</v>
      </c>
      <c r="O89">
        <v>1</v>
      </c>
      <c r="P89" t="s">
        <v>76</v>
      </c>
    </row>
    <row r="90" spans="1:16" x14ac:dyDescent="0.2">
      <c r="A90" s="2">
        <v>29</v>
      </c>
      <c r="B90" s="2" t="s">
        <v>67</v>
      </c>
      <c r="C90" s="2" t="s">
        <v>25</v>
      </c>
      <c r="D90" t="s">
        <v>296</v>
      </c>
      <c r="E90" s="15">
        <f t="shared" ref="E90:F90" si="29">AVERAGE(L90:L92)</f>
        <v>95.138888888888872</v>
      </c>
      <c r="F90" s="4">
        <f t="shared" si="29"/>
        <v>96.527777777777786</v>
      </c>
      <c r="G90" s="2" t="s">
        <v>17</v>
      </c>
      <c r="H90">
        <v>31</v>
      </c>
      <c r="I90">
        <v>0</v>
      </c>
      <c r="J90">
        <v>32</v>
      </c>
      <c r="K90">
        <f t="shared" si="20"/>
        <v>31</v>
      </c>
      <c r="L90" s="4">
        <f t="shared" si="21"/>
        <v>96.875</v>
      </c>
      <c r="M90" s="4">
        <f t="shared" si="22"/>
        <v>96.875</v>
      </c>
      <c r="N90">
        <v>0</v>
      </c>
      <c r="O90">
        <v>0</v>
      </c>
      <c r="P90" t="s">
        <v>77</v>
      </c>
    </row>
    <row r="91" spans="1:16" x14ac:dyDescent="0.2">
      <c r="E91" s="15"/>
      <c r="G91" s="2" t="s">
        <v>18</v>
      </c>
      <c r="H91">
        <v>22</v>
      </c>
      <c r="I91">
        <v>1</v>
      </c>
      <c r="J91">
        <v>24</v>
      </c>
      <c r="K91">
        <f t="shared" si="20"/>
        <v>23</v>
      </c>
      <c r="L91" s="4">
        <f t="shared" si="21"/>
        <v>91.666666666666657</v>
      </c>
      <c r="M91" s="4">
        <f t="shared" si="22"/>
        <v>95.833333333333343</v>
      </c>
      <c r="N91">
        <v>0</v>
      </c>
      <c r="O91">
        <v>2</v>
      </c>
    </row>
    <row r="92" spans="1:16" x14ac:dyDescent="0.2">
      <c r="E92" s="15"/>
      <c r="G92" s="2" t="s">
        <v>19</v>
      </c>
      <c r="H92">
        <v>31</v>
      </c>
      <c r="I92">
        <v>0</v>
      </c>
      <c r="J92">
        <v>32</v>
      </c>
      <c r="K92">
        <f t="shared" si="20"/>
        <v>31</v>
      </c>
      <c r="L92" s="4">
        <f t="shared" si="21"/>
        <v>96.875</v>
      </c>
      <c r="M92" s="4">
        <f t="shared" si="22"/>
        <v>96.875</v>
      </c>
      <c r="N92">
        <v>0</v>
      </c>
      <c r="O92">
        <v>0</v>
      </c>
      <c r="P92" s="5" t="s">
        <v>78</v>
      </c>
    </row>
    <row r="93" spans="1:16" x14ac:dyDescent="0.2">
      <c r="A93" s="2">
        <v>30</v>
      </c>
      <c r="B93" s="2" t="s">
        <v>67</v>
      </c>
      <c r="C93" s="2" t="s">
        <v>27</v>
      </c>
      <c r="D93" t="s">
        <v>296</v>
      </c>
      <c r="E93" s="15">
        <f t="shared" ref="E93:F93" si="30">AVERAGE(L93:L95)</f>
        <v>92.526030523463135</v>
      </c>
      <c r="F93" s="4">
        <f t="shared" si="30"/>
        <v>93.923833975181864</v>
      </c>
      <c r="G93" s="2" t="s">
        <v>17</v>
      </c>
      <c r="H93">
        <v>53</v>
      </c>
      <c r="I93">
        <v>1</v>
      </c>
      <c r="J93">
        <v>57</v>
      </c>
      <c r="K93">
        <f t="shared" si="20"/>
        <v>54</v>
      </c>
      <c r="L93" s="4">
        <f t="shared" si="21"/>
        <v>92.982456140350877</v>
      </c>
      <c r="M93" s="4">
        <f t="shared" si="22"/>
        <v>94.73684210526315</v>
      </c>
    </row>
    <row r="94" spans="1:16" x14ac:dyDescent="0.2">
      <c r="E94" s="15"/>
      <c r="G94" s="2" t="s">
        <v>18</v>
      </c>
      <c r="H94">
        <v>34</v>
      </c>
      <c r="I94">
        <v>0</v>
      </c>
      <c r="J94">
        <v>38</v>
      </c>
      <c r="K94">
        <f t="shared" si="20"/>
        <v>34</v>
      </c>
      <c r="L94" s="4">
        <f t="shared" si="21"/>
        <v>89.473684210526315</v>
      </c>
      <c r="M94" s="4">
        <f t="shared" si="22"/>
        <v>89.473684210526315</v>
      </c>
      <c r="P94" t="s">
        <v>79</v>
      </c>
    </row>
    <row r="95" spans="1:16" x14ac:dyDescent="0.2">
      <c r="E95" s="15"/>
      <c r="G95" s="2" t="s">
        <v>19</v>
      </c>
      <c r="H95">
        <v>39</v>
      </c>
      <c r="I95">
        <v>1</v>
      </c>
      <c r="J95">
        <v>41</v>
      </c>
      <c r="K95">
        <f t="shared" si="20"/>
        <v>40</v>
      </c>
      <c r="L95" s="4">
        <f t="shared" si="21"/>
        <v>95.121951219512198</v>
      </c>
      <c r="M95" s="4">
        <f t="shared" si="22"/>
        <v>97.560975609756099</v>
      </c>
      <c r="P95" t="s">
        <v>79</v>
      </c>
    </row>
    <row r="96" spans="1:16" x14ac:dyDescent="0.2">
      <c r="A96" s="2">
        <v>31</v>
      </c>
      <c r="B96" s="2" t="s">
        <v>80</v>
      </c>
      <c r="C96" s="2" t="s">
        <v>16</v>
      </c>
      <c r="D96" t="s">
        <v>295</v>
      </c>
      <c r="E96" s="14">
        <f t="shared" ref="E96:F96" si="31">AVERAGE(L96:L98)</f>
        <v>27.737570830253759</v>
      </c>
      <c r="F96" s="4">
        <f t="shared" si="31"/>
        <v>33.685932495688597</v>
      </c>
      <c r="G96" s="2" t="s">
        <v>17</v>
      </c>
      <c r="H96">
        <v>32</v>
      </c>
      <c r="I96">
        <v>6</v>
      </c>
      <c r="J96">
        <v>125</v>
      </c>
      <c r="K96">
        <f t="shared" si="20"/>
        <v>38</v>
      </c>
      <c r="L96" s="4">
        <f t="shared" si="21"/>
        <v>25.6</v>
      </c>
      <c r="M96" s="4">
        <f t="shared" si="22"/>
        <v>30.4</v>
      </c>
      <c r="N96">
        <v>22</v>
      </c>
      <c r="O96">
        <v>0</v>
      </c>
      <c r="P96" s="5" t="s">
        <v>81</v>
      </c>
    </row>
    <row r="97" spans="1:17" x14ac:dyDescent="0.2">
      <c r="E97" s="14"/>
      <c r="G97" s="2" t="s">
        <v>18</v>
      </c>
      <c r="H97">
        <v>28</v>
      </c>
      <c r="I97">
        <v>3</v>
      </c>
      <c r="J97">
        <v>123</v>
      </c>
      <c r="K97">
        <f t="shared" si="20"/>
        <v>31</v>
      </c>
      <c r="L97" s="4">
        <f t="shared" si="21"/>
        <v>22.76422764227642</v>
      </c>
      <c r="M97" s="4">
        <f t="shared" si="22"/>
        <v>25.203252032520325</v>
      </c>
      <c r="N97">
        <v>35</v>
      </c>
      <c r="O97">
        <v>7</v>
      </c>
      <c r="P97" t="s">
        <v>82</v>
      </c>
      <c r="Q97" t="s">
        <v>83</v>
      </c>
    </row>
    <row r="98" spans="1:17" x14ac:dyDescent="0.2">
      <c r="E98" s="14"/>
      <c r="G98" s="2" t="s">
        <v>19</v>
      </c>
      <c r="H98">
        <v>46</v>
      </c>
      <c r="I98">
        <v>14</v>
      </c>
      <c r="J98">
        <v>132</v>
      </c>
      <c r="K98">
        <f t="shared" si="20"/>
        <v>60</v>
      </c>
      <c r="L98" s="4">
        <f t="shared" si="21"/>
        <v>34.848484848484851</v>
      </c>
      <c r="M98" s="4">
        <f t="shared" si="22"/>
        <v>45.454545454545453</v>
      </c>
      <c r="N98">
        <v>24</v>
      </c>
      <c r="O98">
        <v>3</v>
      </c>
      <c r="P98" t="s">
        <v>84</v>
      </c>
    </row>
    <row r="99" spans="1:17" x14ac:dyDescent="0.2">
      <c r="A99" s="2">
        <v>32</v>
      </c>
      <c r="B99" s="2" t="s">
        <v>80</v>
      </c>
      <c r="C99" s="2" t="s">
        <v>20</v>
      </c>
      <c r="D99" t="s">
        <v>295</v>
      </c>
      <c r="E99" s="14">
        <f t="shared" ref="E99:F99" si="32">AVERAGE(L99:L101)</f>
        <v>15.054068208631184</v>
      </c>
      <c r="F99" s="4">
        <f t="shared" si="32"/>
        <v>24.841139799382603</v>
      </c>
      <c r="G99" s="2" t="s">
        <v>17</v>
      </c>
      <c r="H99">
        <v>20</v>
      </c>
      <c r="I99">
        <v>10</v>
      </c>
      <c r="J99">
        <v>123</v>
      </c>
      <c r="K99">
        <f t="shared" si="20"/>
        <v>30</v>
      </c>
      <c r="L99" s="4">
        <f t="shared" si="21"/>
        <v>16.260162601626014</v>
      </c>
      <c r="M99" s="4">
        <f t="shared" si="22"/>
        <v>24.390243902439025</v>
      </c>
      <c r="N99">
        <v>34</v>
      </c>
      <c r="O99">
        <v>5</v>
      </c>
      <c r="P99" t="s">
        <v>85</v>
      </c>
    </row>
    <row r="100" spans="1:17" x14ac:dyDescent="0.2">
      <c r="E100" s="14"/>
      <c r="G100" s="2" t="s">
        <v>18</v>
      </c>
      <c r="H100">
        <v>32</v>
      </c>
      <c r="I100">
        <v>13</v>
      </c>
      <c r="J100">
        <v>155</v>
      </c>
      <c r="K100">
        <f t="shared" si="20"/>
        <v>45</v>
      </c>
      <c r="L100" s="4">
        <f t="shared" si="21"/>
        <v>20.64516129032258</v>
      </c>
      <c r="M100" s="4">
        <f t="shared" si="22"/>
        <v>29.032258064516132</v>
      </c>
      <c r="N100">
        <v>38</v>
      </c>
      <c r="O100">
        <v>1</v>
      </c>
      <c r="P100" t="s">
        <v>85</v>
      </c>
    </row>
    <row r="101" spans="1:17" x14ac:dyDescent="0.2">
      <c r="E101" s="14"/>
      <c r="G101" s="2" t="s">
        <v>19</v>
      </c>
      <c r="H101">
        <v>9</v>
      </c>
      <c r="I101">
        <v>14</v>
      </c>
      <c r="J101">
        <v>109</v>
      </c>
      <c r="K101">
        <f t="shared" si="20"/>
        <v>23</v>
      </c>
      <c r="L101" s="4">
        <f t="shared" si="21"/>
        <v>8.2568807339449553</v>
      </c>
      <c r="M101" s="4">
        <f t="shared" si="22"/>
        <v>21.100917431192663</v>
      </c>
      <c r="N101">
        <v>22</v>
      </c>
      <c r="O101">
        <v>1</v>
      </c>
      <c r="P101" t="s">
        <v>86</v>
      </c>
    </row>
    <row r="102" spans="1:17" x14ac:dyDescent="0.2">
      <c r="A102" s="2">
        <v>33</v>
      </c>
      <c r="B102" s="2" t="s">
        <v>80</v>
      </c>
      <c r="C102" s="2" t="s">
        <v>21</v>
      </c>
      <c r="D102" t="s">
        <v>295</v>
      </c>
      <c r="E102" s="14">
        <f t="shared" ref="E102:F102" si="33">AVERAGE(L102:L104)</f>
        <v>22.155422018435715</v>
      </c>
      <c r="F102" s="4">
        <f t="shared" si="33"/>
        <v>28.395181271893602</v>
      </c>
      <c r="G102" s="2" t="s">
        <v>17</v>
      </c>
      <c r="H102">
        <v>30</v>
      </c>
      <c r="I102">
        <v>12</v>
      </c>
      <c r="J102">
        <v>148</v>
      </c>
      <c r="K102">
        <f t="shared" si="20"/>
        <v>42</v>
      </c>
      <c r="L102" s="4">
        <f t="shared" si="21"/>
        <v>20.27027027027027</v>
      </c>
      <c r="M102" s="4">
        <f t="shared" si="22"/>
        <v>28.378378378378379</v>
      </c>
      <c r="N102">
        <v>33</v>
      </c>
      <c r="O102">
        <v>2</v>
      </c>
      <c r="P102" t="s">
        <v>87</v>
      </c>
    </row>
    <row r="103" spans="1:17" x14ac:dyDescent="0.2">
      <c r="E103" s="14"/>
      <c r="G103" s="2" t="s">
        <v>18</v>
      </c>
      <c r="H103">
        <v>28</v>
      </c>
      <c r="I103">
        <v>4</v>
      </c>
      <c r="J103">
        <v>130</v>
      </c>
      <c r="K103">
        <f t="shared" si="20"/>
        <v>32</v>
      </c>
      <c r="L103" s="4">
        <f t="shared" si="21"/>
        <v>21.53846153846154</v>
      </c>
      <c r="M103" s="4">
        <f t="shared" si="22"/>
        <v>24.615384615384617</v>
      </c>
      <c r="N103">
        <v>36</v>
      </c>
      <c r="O103">
        <v>0</v>
      </c>
      <c r="P103" t="s">
        <v>88</v>
      </c>
    </row>
    <row r="104" spans="1:17" x14ac:dyDescent="0.2">
      <c r="E104" s="14"/>
      <c r="G104" s="2" t="s">
        <v>19</v>
      </c>
      <c r="H104">
        <v>36</v>
      </c>
      <c r="I104">
        <v>11</v>
      </c>
      <c r="J104">
        <v>146</v>
      </c>
      <c r="K104">
        <f t="shared" si="20"/>
        <v>47</v>
      </c>
      <c r="L104" s="4">
        <f t="shared" si="21"/>
        <v>24.657534246575342</v>
      </c>
      <c r="M104" s="4">
        <f t="shared" si="22"/>
        <v>32.19178082191781</v>
      </c>
      <c r="N104">
        <v>35</v>
      </c>
      <c r="O104">
        <v>0</v>
      </c>
      <c r="P104" t="s">
        <v>89</v>
      </c>
    </row>
    <row r="105" spans="1:17" x14ac:dyDescent="0.2">
      <c r="A105" s="2">
        <v>34</v>
      </c>
      <c r="B105" s="2" t="s">
        <v>80</v>
      </c>
      <c r="C105" s="2" t="s">
        <v>23</v>
      </c>
      <c r="D105" t="s">
        <v>296</v>
      </c>
      <c r="E105" s="15">
        <f t="shared" ref="E105:F105" si="34">AVERAGE(L105:L107)</f>
        <v>27.974338122345713</v>
      </c>
      <c r="F105" s="4">
        <f t="shared" si="34"/>
        <v>37.536399506038975</v>
      </c>
      <c r="G105" s="2" t="s">
        <v>17</v>
      </c>
      <c r="H105">
        <v>27</v>
      </c>
      <c r="I105">
        <v>8</v>
      </c>
      <c r="J105">
        <v>93</v>
      </c>
      <c r="K105">
        <f t="shared" si="20"/>
        <v>35</v>
      </c>
      <c r="L105" s="4">
        <f t="shared" si="21"/>
        <v>29.032258064516132</v>
      </c>
      <c r="M105" s="4">
        <f t="shared" si="22"/>
        <v>37.634408602150536</v>
      </c>
      <c r="N105">
        <v>22</v>
      </c>
      <c r="O105">
        <v>7</v>
      </c>
      <c r="P105" t="s">
        <v>90</v>
      </c>
    </row>
    <row r="106" spans="1:17" x14ac:dyDescent="0.2">
      <c r="E106" s="15"/>
      <c r="G106" s="2" t="s">
        <v>18</v>
      </c>
      <c r="H106">
        <v>32</v>
      </c>
      <c r="I106">
        <v>12</v>
      </c>
      <c r="J106">
        <v>119</v>
      </c>
      <c r="K106">
        <f t="shared" si="20"/>
        <v>44</v>
      </c>
      <c r="L106" s="4">
        <f t="shared" si="21"/>
        <v>26.890756302521009</v>
      </c>
      <c r="M106" s="4">
        <f t="shared" si="22"/>
        <v>36.97478991596639</v>
      </c>
      <c r="N106">
        <v>26</v>
      </c>
      <c r="O106">
        <v>11</v>
      </c>
      <c r="P106" t="s">
        <v>91</v>
      </c>
    </row>
    <row r="107" spans="1:17" x14ac:dyDescent="0.2">
      <c r="E107" s="15"/>
      <c r="G107" s="2" t="s">
        <v>19</v>
      </c>
      <c r="H107">
        <v>28</v>
      </c>
      <c r="I107">
        <v>10</v>
      </c>
      <c r="J107">
        <v>100</v>
      </c>
      <c r="K107">
        <f t="shared" si="20"/>
        <v>38</v>
      </c>
      <c r="L107" s="4">
        <f t="shared" si="21"/>
        <v>28.000000000000004</v>
      </c>
      <c r="M107" s="4">
        <f t="shared" si="22"/>
        <v>38</v>
      </c>
      <c r="N107">
        <v>21</v>
      </c>
      <c r="O107">
        <v>9</v>
      </c>
      <c r="P107" t="s">
        <v>92</v>
      </c>
    </row>
    <row r="108" spans="1:17" x14ac:dyDescent="0.2">
      <c r="A108" s="2">
        <v>35</v>
      </c>
      <c r="B108" s="2" t="s">
        <v>80</v>
      </c>
      <c r="C108" s="2" t="s">
        <v>25</v>
      </c>
      <c r="D108" t="s">
        <v>296</v>
      </c>
      <c r="E108" s="15">
        <f t="shared" ref="E108:F108" si="35">AVERAGE(L108:L110)</f>
        <v>21.763020341331316</v>
      </c>
      <c r="F108" s="4">
        <f t="shared" si="35"/>
        <v>30.201569008483801</v>
      </c>
      <c r="G108" s="2" t="s">
        <v>17</v>
      </c>
      <c r="H108">
        <v>35</v>
      </c>
      <c r="I108">
        <v>8</v>
      </c>
      <c r="J108">
        <v>140</v>
      </c>
      <c r="K108">
        <f t="shared" si="20"/>
        <v>43</v>
      </c>
      <c r="L108" s="4">
        <f t="shared" si="21"/>
        <v>25</v>
      </c>
      <c r="M108" s="4">
        <f t="shared" si="22"/>
        <v>30.714285714285715</v>
      </c>
      <c r="N108">
        <v>26</v>
      </c>
      <c r="O108">
        <v>4</v>
      </c>
      <c r="P108" t="s">
        <v>88</v>
      </c>
    </row>
    <row r="109" spans="1:17" x14ac:dyDescent="0.2">
      <c r="E109" s="15"/>
      <c r="G109" s="2" t="s">
        <v>18</v>
      </c>
      <c r="H109">
        <v>26</v>
      </c>
      <c r="I109">
        <v>11</v>
      </c>
      <c r="J109">
        <v>134</v>
      </c>
      <c r="K109">
        <f t="shared" si="20"/>
        <v>37</v>
      </c>
      <c r="L109" s="4">
        <f t="shared" si="21"/>
        <v>19.402985074626866</v>
      </c>
      <c r="M109" s="4">
        <f t="shared" si="22"/>
        <v>27.611940298507463</v>
      </c>
      <c r="N109">
        <v>47</v>
      </c>
      <c r="O109">
        <v>2</v>
      </c>
      <c r="P109" t="s">
        <v>93</v>
      </c>
    </row>
    <row r="110" spans="1:17" x14ac:dyDescent="0.2">
      <c r="E110" s="15"/>
      <c r="G110" s="2" t="s">
        <v>19</v>
      </c>
      <c r="H110">
        <v>33</v>
      </c>
      <c r="I110">
        <v>18</v>
      </c>
      <c r="J110">
        <v>158</v>
      </c>
      <c r="K110">
        <f t="shared" si="20"/>
        <v>51</v>
      </c>
      <c r="L110" s="4">
        <f t="shared" si="21"/>
        <v>20.88607594936709</v>
      </c>
      <c r="M110" s="4">
        <f t="shared" si="22"/>
        <v>32.278481012658226</v>
      </c>
      <c r="N110">
        <v>32</v>
      </c>
      <c r="O110">
        <v>1</v>
      </c>
      <c r="P110" t="s">
        <v>92</v>
      </c>
    </row>
    <row r="111" spans="1:17" x14ac:dyDescent="0.2">
      <c r="A111" s="2">
        <v>36</v>
      </c>
      <c r="B111" s="2" t="s">
        <v>80</v>
      </c>
      <c r="C111" s="2" t="s">
        <v>27</v>
      </c>
      <c r="D111" t="s">
        <v>296</v>
      </c>
      <c r="E111" s="15">
        <f t="shared" ref="E111:F111" si="36">AVERAGE(L111:L113)</f>
        <v>25.208621852917151</v>
      </c>
      <c r="F111" s="4">
        <f t="shared" si="36"/>
        <v>33.792853850202114</v>
      </c>
      <c r="G111" s="2" t="s">
        <v>17</v>
      </c>
      <c r="H111">
        <v>34</v>
      </c>
      <c r="I111">
        <v>14</v>
      </c>
      <c r="J111">
        <v>119</v>
      </c>
      <c r="K111">
        <f t="shared" si="20"/>
        <v>48</v>
      </c>
      <c r="L111" s="4">
        <f t="shared" si="21"/>
        <v>28.571428571428569</v>
      </c>
      <c r="M111" s="4">
        <f t="shared" si="22"/>
        <v>40.336134453781511</v>
      </c>
      <c r="N111">
        <v>11</v>
      </c>
      <c r="O111">
        <v>1</v>
      </c>
      <c r="P111" t="s">
        <v>94</v>
      </c>
    </row>
    <row r="112" spans="1:17" x14ac:dyDescent="0.2">
      <c r="E112" s="15"/>
      <c r="G112" s="2" t="s">
        <v>18</v>
      </c>
      <c r="H112">
        <v>37</v>
      </c>
      <c r="I112">
        <v>13</v>
      </c>
      <c r="J112">
        <v>149</v>
      </c>
      <c r="K112">
        <f t="shared" si="20"/>
        <v>50</v>
      </c>
      <c r="L112" s="4">
        <f t="shared" si="21"/>
        <v>24.832214765100673</v>
      </c>
      <c r="M112" s="4">
        <f t="shared" si="22"/>
        <v>33.557046979865774</v>
      </c>
      <c r="N112">
        <v>37</v>
      </c>
      <c r="O112">
        <v>0</v>
      </c>
      <c r="P112" t="s">
        <v>88</v>
      </c>
    </row>
    <row r="113" spans="1:16" x14ac:dyDescent="0.2">
      <c r="E113" s="15"/>
      <c r="G113" s="2" t="s">
        <v>19</v>
      </c>
      <c r="H113">
        <v>38</v>
      </c>
      <c r="I113">
        <v>9</v>
      </c>
      <c r="J113">
        <v>171</v>
      </c>
      <c r="K113">
        <f t="shared" si="20"/>
        <v>47</v>
      </c>
      <c r="L113" s="4">
        <f t="shared" si="21"/>
        <v>22.222222222222221</v>
      </c>
      <c r="M113" s="4">
        <f t="shared" si="22"/>
        <v>27.485380116959064</v>
      </c>
      <c r="N113">
        <v>52</v>
      </c>
      <c r="O113">
        <v>0</v>
      </c>
      <c r="P113" t="s">
        <v>95</v>
      </c>
    </row>
    <row r="114" spans="1:16" x14ac:dyDescent="0.2">
      <c r="A114" s="2">
        <v>37</v>
      </c>
      <c r="B114" s="2" t="s">
        <v>96</v>
      </c>
      <c r="C114" s="2" t="s">
        <v>97</v>
      </c>
      <c r="D114" t="s">
        <v>293</v>
      </c>
      <c r="E114" s="16">
        <f t="shared" ref="E114:F114" si="37">AVERAGE(L114:L116)</f>
        <v>67.971237801746284</v>
      </c>
      <c r="F114" s="4">
        <f t="shared" si="37"/>
        <v>71.222393425783252</v>
      </c>
      <c r="G114" s="2" t="s">
        <v>17</v>
      </c>
      <c r="H114">
        <v>42</v>
      </c>
      <c r="I114">
        <v>3</v>
      </c>
      <c r="J114">
        <v>66</v>
      </c>
      <c r="K114">
        <f t="shared" si="20"/>
        <v>45</v>
      </c>
      <c r="L114" s="4">
        <f t="shared" si="21"/>
        <v>63.636363636363633</v>
      </c>
      <c r="M114" s="4">
        <f t="shared" si="22"/>
        <v>68.181818181818173</v>
      </c>
      <c r="N114">
        <v>0</v>
      </c>
      <c r="O114">
        <v>3</v>
      </c>
      <c r="P114" t="s">
        <v>98</v>
      </c>
    </row>
    <row r="115" spans="1:16" x14ac:dyDescent="0.2">
      <c r="E115" s="16"/>
      <c r="G115" s="2" t="s">
        <v>18</v>
      </c>
      <c r="H115">
        <v>42</v>
      </c>
      <c r="I115">
        <v>2</v>
      </c>
      <c r="J115">
        <v>59</v>
      </c>
      <c r="K115">
        <f t="shared" si="20"/>
        <v>44</v>
      </c>
      <c r="L115" s="4">
        <f t="shared" si="21"/>
        <v>71.186440677966104</v>
      </c>
      <c r="M115" s="4">
        <f t="shared" si="22"/>
        <v>74.576271186440678</v>
      </c>
      <c r="N115">
        <v>0</v>
      </c>
      <c r="O115">
        <v>0</v>
      </c>
    </row>
    <row r="116" spans="1:16" x14ac:dyDescent="0.2">
      <c r="E116" s="16"/>
      <c r="G116" s="2" t="s">
        <v>19</v>
      </c>
      <c r="H116">
        <v>38</v>
      </c>
      <c r="I116">
        <v>1</v>
      </c>
      <c r="J116">
        <v>55</v>
      </c>
      <c r="K116">
        <f t="shared" si="20"/>
        <v>39</v>
      </c>
      <c r="L116" s="4">
        <f t="shared" si="21"/>
        <v>69.090909090909093</v>
      </c>
      <c r="M116" s="4">
        <f t="shared" si="22"/>
        <v>70.909090909090907</v>
      </c>
      <c r="N116">
        <v>0</v>
      </c>
      <c r="O116">
        <v>6</v>
      </c>
    </row>
    <row r="117" spans="1:16" x14ac:dyDescent="0.2">
      <c r="A117" s="2">
        <v>38</v>
      </c>
      <c r="B117" s="2" t="s">
        <v>96</v>
      </c>
      <c r="C117" s="2" t="s">
        <v>99</v>
      </c>
      <c r="D117" t="s">
        <v>293</v>
      </c>
      <c r="E117" s="16">
        <f t="shared" ref="E117:F117" si="38">AVERAGE(L117:L119)</f>
        <v>94.705882352941174</v>
      </c>
      <c r="F117" s="4">
        <f t="shared" si="38"/>
        <v>94.705882352941174</v>
      </c>
      <c r="G117" s="2" t="s">
        <v>17</v>
      </c>
      <c r="H117">
        <v>25</v>
      </c>
      <c r="I117">
        <v>0</v>
      </c>
      <c r="J117">
        <v>25</v>
      </c>
      <c r="K117">
        <f t="shared" si="20"/>
        <v>25</v>
      </c>
      <c r="L117" s="4">
        <f t="shared" si="21"/>
        <v>100</v>
      </c>
      <c r="M117" s="4">
        <f t="shared" si="22"/>
        <v>100</v>
      </c>
      <c r="N117">
        <v>0</v>
      </c>
      <c r="O117">
        <v>0</v>
      </c>
      <c r="P117" t="s">
        <v>100</v>
      </c>
    </row>
    <row r="118" spans="1:16" x14ac:dyDescent="0.2">
      <c r="E118" s="16"/>
      <c r="G118" s="2" t="s">
        <v>18</v>
      </c>
      <c r="H118">
        <v>16</v>
      </c>
      <c r="I118">
        <v>0</v>
      </c>
      <c r="J118">
        <v>17</v>
      </c>
      <c r="K118">
        <f t="shared" si="20"/>
        <v>16</v>
      </c>
      <c r="L118" s="4">
        <f t="shared" si="21"/>
        <v>94.117647058823522</v>
      </c>
      <c r="M118" s="4">
        <f t="shared" si="22"/>
        <v>94.117647058823522</v>
      </c>
      <c r="N118">
        <v>0</v>
      </c>
      <c r="O118">
        <v>0</v>
      </c>
      <c r="P118" t="s">
        <v>101</v>
      </c>
    </row>
    <row r="119" spans="1:16" x14ac:dyDescent="0.2">
      <c r="E119" s="16"/>
      <c r="G119" s="2" t="s">
        <v>19</v>
      </c>
      <c r="H119">
        <v>18</v>
      </c>
      <c r="I119">
        <v>0</v>
      </c>
      <c r="J119">
        <v>20</v>
      </c>
      <c r="K119">
        <f t="shared" si="20"/>
        <v>18</v>
      </c>
      <c r="L119" s="4">
        <f t="shared" si="21"/>
        <v>90</v>
      </c>
      <c r="M119" s="4">
        <f t="shared" si="22"/>
        <v>90</v>
      </c>
      <c r="N119">
        <v>0</v>
      </c>
      <c r="O119">
        <v>0</v>
      </c>
    </row>
    <row r="120" spans="1:16" x14ac:dyDescent="0.2">
      <c r="A120" s="2">
        <v>39</v>
      </c>
      <c r="B120" s="2" t="s">
        <v>102</v>
      </c>
      <c r="C120" s="2" t="s">
        <v>97</v>
      </c>
      <c r="D120" t="s">
        <v>293</v>
      </c>
      <c r="E120" s="16">
        <f t="shared" ref="E120:F120" si="39">AVERAGE(L120:L122)</f>
        <v>5.0865800865800859</v>
      </c>
      <c r="F120" s="4">
        <f t="shared" si="39"/>
        <v>9.940059940059939</v>
      </c>
      <c r="G120" s="2" t="s">
        <v>17</v>
      </c>
      <c r="H120">
        <v>0</v>
      </c>
      <c r="I120">
        <v>1</v>
      </c>
      <c r="J120">
        <v>26</v>
      </c>
      <c r="K120">
        <f t="shared" si="20"/>
        <v>1</v>
      </c>
      <c r="L120" s="4">
        <f t="shared" si="21"/>
        <v>0</v>
      </c>
      <c r="M120" s="4">
        <f t="shared" si="22"/>
        <v>3.8461538461538463</v>
      </c>
      <c r="N120">
        <v>0</v>
      </c>
      <c r="O120">
        <v>0</v>
      </c>
      <c r="P120" t="s">
        <v>103</v>
      </c>
    </row>
    <row r="121" spans="1:16" x14ac:dyDescent="0.2">
      <c r="E121" s="16"/>
      <c r="G121" s="2" t="s">
        <v>18</v>
      </c>
      <c r="H121">
        <v>1</v>
      </c>
      <c r="I121">
        <v>0</v>
      </c>
      <c r="J121">
        <v>22</v>
      </c>
      <c r="K121">
        <f t="shared" si="20"/>
        <v>1</v>
      </c>
      <c r="L121" s="4">
        <f t="shared" si="21"/>
        <v>4.5454545454545459</v>
      </c>
      <c r="M121" s="4">
        <f t="shared" si="22"/>
        <v>4.5454545454545459</v>
      </c>
      <c r="P121" t="s">
        <v>104</v>
      </c>
    </row>
    <row r="122" spans="1:16" x14ac:dyDescent="0.2">
      <c r="E122" s="16"/>
      <c r="G122" s="2" t="s">
        <v>19</v>
      </c>
      <c r="H122">
        <v>3</v>
      </c>
      <c r="I122">
        <v>3</v>
      </c>
      <c r="J122">
        <v>28</v>
      </c>
      <c r="K122">
        <f t="shared" si="20"/>
        <v>6</v>
      </c>
      <c r="L122" s="4">
        <f t="shared" si="21"/>
        <v>10.714285714285714</v>
      </c>
      <c r="M122" s="4">
        <f t="shared" si="22"/>
        <v>21.428571428571427</v>
      </c>
      <c r="P122" t="s">
        <v>105</v>
      </c>
    </row>
    <row r="123" spans="1:16" x14ac:dyDescent="0.2">
      <c r="A123" s="2">
        <v>40</v>
      </c>
      <c r="B123" s="2" t="s">
        <v>102</v>
      </c>
      <c r="C123" s="2" t="s">
        <v>99</v>
      </c>
      <c r="D123" t="s">
        <v>293</v>
      </c>
      <c r="E123" s="16">
        <f t="shared" ref="E123:F123" si="40">AVERAGE(L123:L125)</f>
        <v>12.133253361323534</v>
      </c>
      <c r="F123" s="4">
        <f t="shared" si="40"/>
        <v>14.032588593992102</v>
      </c>
      <c r="G123" s="2" t="s">
        <v>17</v>
      </c>
      <c r="H123">
        <v>2</v>
      </c>
      <c r="I123">
        <v>2</v>
      </c>
      <c r="J123">
        <v>52</v>
      </c>
      <c r="K123">
        <f t="shared" si="20"/>
        <v>4</v>
      </c>
      <c r="L123" s="4">
        <f t="shared" si="21"/>
        <v>3.8461538461538463</v>
      </c>
      <c r="M123" s="4">
        <f t="shared" si="22"/>
        <v>7.6923076923076925</v>
      </c>
      <c r="N123">
        <v>0</v>
      </c>
      <c r="O123">
        <v>0</v>
      </c>
      <c r="P123" t="s">
        <v>106</v>
      </c>
    </row>
    <row r="124" spans="1:16" x14ac:dyDescent="0.2">
      <c r="E124" s="16"/>
      <c r="G124" s="2" t="s">
        <v>18</v>
      </c>
      <c r="H124">
        <v>8</v>
      </c>
      <c r="I124">
        <v>0</v>
      </c>
      <c r="J124">
        <v>57</v>
      </c>
      <c r="K124">
        <f t="shared" si="20"/>
        <v>8</v>
      </c>
      <c r="L124" s="4">
        <f t="shared" si="21"/>
        <v>14.035087719298245</v>
      </c>
      <c r="M124" s="4">
        <f t="shared" si="22"/>
        <v>14.035087719298245</v>
      </c>
      <c r="N124">
        <v>0</v>
      </c>
      <c r="O124">
        <v>3</v>
      </c>
    </row>
    <row r="125" spans="1:16" x14ac:dyDescent="0.2">
      <c r="E125" s="16"/>
      <c r="G125" s="2" t="s">
        <v>19</v>
      </c>
      <c r="H125">
        <v>10</v>
      </c>
      <c r="I125">
        <v>1</v>
      </c>
      <c r="J125">
        <v>54</v>
      </c>
      <c r="K125">
        <f t="shared" si="20"/>
        <v>11</v>
      </c>
      <c r="L125" s="4">
        <f t="shared" si="21"/>
        <v>18.518518518518519</v>
      </c>
      <c r="M125" s="4">
        <f t="shared" si="22"/>
        <v>20.37037037037037</v>
      </c>
      <c r="N125">
        <v>0</v>
      </c>
      <c r="O125">
        <v>3</v>
      </c>
      <c r="P125" t="s">
        <v>107</v>
      </c>
    </row>
    <row r="126" spans="1:16" x14ac:dyDescent="0.2">
      <c r="A126" s="2">
        <v>41</v>
      </c>
      <c r="B126" s="2" t="s">
        <v>108</v>
      </c>
      <c r="C126" s="2" t="s">
        <v>109</v>
      </c>
      <c r="D126" t="s">
        <v>293</v>
      </c>
      <c r="E126" s="16">
        <f t="shared" ref="E126:F126" si="41">AVERAGE(L126:L128)</f>
        <v>4.7546472803371413</v>
      </c>
      <c r="F126" s="4">
        <f t="shared" si="41"/>
        <v>13.05902541102477</v>
      </c>
      <c r="G126" s="2" t="s">
        <v>17</v>
      </c>
      <c r="H126">
        <v>3</v>
      </c>
      <c r="I126">
        <v>23</v>
      </c>
      <c r="J126">
        <v>131</v>
      </c>
      <c r="K126">
        <f t="shared" si="20"/>
        <v>26</v>
      </c>
      <c r="L126" s="4">
        <f t="shared" si="21"/>
        <v>2.2900763358778624</v>
      </c>
      <c r="M126" s="4">
        <f t="shared" si="22"/>
        <v>19.847328244274809</v>
      </c>
      <c r="N126">
        <v>0</v>
      </c>
      <c r="O126">
        <v>2</v>
      </c>
      <c r="P126" s="5" t="s">
        <v>110</v>
      </c>
    </row>
    <row r="127" spans="1:16" x14ac:dyDescent="0.2">
      <c r="E127" s="16"/>
      <c r="G127" s="2" t="s">
        <v>18</v>
      </c>
      <c r="H127">
        <v>12</v>
      </c>
      <c r="I127">
        <v>3</v>
      </c>
      <c r="J127">
        <v>151</v>
      </c>
      <c r="K127">
        <f t="shared" si="20"/>
        <v>15</v>
      </c>
      <c r="L127" s="4">
        <f t="shared" si="21"/>
        <v>7.9470198675496695</v>
      </c>
      <c r="M127" s="4">
        <f t="shared" si="22"/>
        <v>9.9337748344370862</v>
      </c>
      <c r="N127">
        <v>0</v>
      </c>
      <c r="O127">
        <v>1</v>
      </c>
    </row>
    <row r="128" spans="1:16" x14ac:dyDescent="0.2">
      <c r="E128" s="16"/>
      <c r="G128" s="2" t="s">
        <v>19</v>
      </c>
      <c r="H128">
        <v>6</v>
      </c>
      <c r="I128">
        <v>8</v>
      </c>
      <c r="J128">
        <v>149</v>
      </c>
      <c r="K128">
        <f t="shared" si="20"/>
        <v>14</v>
      </c>
      <c r="L128" s="4">
        <f t="shared" si="21"/>
        <v>4.0268456375838921</v>
      </c>
      <c r="M128" s="4">
        <f t="shared" si="22"/>
        <v>9.3959731543624159</v>
      </c>
      <c r="N128">
        <v>0</v>
      </c>
      <c r="O128">
        <v>3</v>
      </c>
    </row>
    <row r="129" spans="1:16" x14ac:dyDescent="0.2">
      <c r="A129" s="2">
        <v>42</v>
      </c>
      <c r="B129" s="2" t="s">
        <v>108</v>
      </c>
      <c r="C129" s="2" t="s">
        <v>111</v>
      </c>
      <c r="D129" t="s">
        <v>293</v>
      </c>
      <c r="E129" s="16">
        <f t="shared" ref="E129:F129" si="42">AVERAGE(L129:L131)</f>
        <v>0.92774955170352646</v>
      </c>
      <c r="F129" s="4">
        <f t="shared" si="42"/>
        <v>0.92774955170352646</v>
      </c>
      <c r="G129" s="2" t="s">
        <v>17</v>
      </c>
      <c r="H129">
        <v>2</v>
      </c>
      <c r="I129">
        <v>0</v>
      </c>
      <c r="J129">
        <v>239</v>
      </c>
      <c r="K129">
        <f t="shared" si="20"/>
        <v>2</v>
      </c>
      <c r="L129" s="4">
        <f t="shared" si="21"/>
        <v>0.83682008368200833</v>
      </c>
      <c r="M129" s="4">
        <f t="shared" si="22"/>
        <v>0.83682008368200833</v>
      </c>
      <c r="N129">
        <v>0</v>
      </c>
      <c r="O129">
        <v>4</v>
      </c>
      <c r="P129" t="s">
        <v>112</v>
      </c>
    </row>
    <row r="130" spans="1:16" x14ac:dyDescent="0.2">
      <c r="E130" s="16"/>
      <c r="G130" s="2" t="s">
        <v>18</v>
      </c>
      <c r="H130">
        <v>1</v>
      </c>
      <c r="I130">
        <v>0</v>
      </c>
      <c r="J130">
        <v>224</v>
      </c>
      <c r="K130">
        <f t="shared" si="20"/>
        <v>1</v>
      </c>
      <c r="L130" s="4">
        <f t="shared" si="21"/>
        <v>0.4464285714285714</v>
      </c>
      <c r="M130" s="4">
        <f t="shared" si="22"/>
        <v>0.4464285714285714</v>
      </c>
      <c r="N130">
        <v>0</v>
      </c>
      <c r="O130">
        <v>2</v>
      </c>
    </row>
    <row r="131" spans="1:16" x14ac:dyDescent="0.2">
      <c r="E131" s="16"/>
      <c r="G131" s="2" t="s">
        <v>19</v>
      </c>
      <c r="H131">
        <v>3</v>
      </c>
      <c r="I131">
        <v>0</v>
      </c>
      <c r="J131">
        <v>200</v>
      </c>
      <c r="K131">
        <f t="shared" si="20"/>
        <v>3</v>
      </c>
      <c r="L131" s="4">
        <f t="shared" si="21"/>
        <v>1.5</v>
      </c>
      <c r="M131" s="4">
        <f t="shared" si="22"/>
        <v>1.5</v>
      </c>
      <c r="N131">
        <v>0</v>
      </c>
      <c r="O131">
        <v>4</v>
      </c>
    </row>
    <row r="132" spans="1:16" x14ac:dyDescent="0.2">
      <c r="A132" s="2">
        <v>43</v>
      </c>
      <c r="B132" s="2" t="s">
        <v>113</v>
      </c>
      <c r="C132" s="2" t="s">
        <v>109</v>
      </c>
      <c r="D132" t="s">
        <v>293</v>
      </c>
      <c r="E132" s="16">
        <f t="shared" ref="E132:F132" si="43">AVERAGE(L132:L134)</f>
        <v>3.0238843282321546</v>
      </c>
      <c r="F132" s="4">
        <f t="shared" si="43"/>
        <v>11.546569372656329</v>
      </c>
      <c r="G132" s="2" t="s">
        <v>17</v>
      </c>
      <c r="H132">
        <v>2</v>
      </c>
      <c r="I132">
        <v>4</v>
      </c>
      <c r="J132">
        <v>44</v>
      </c>
      <c r="K132">
        <f t="shared" si="20"/>
        <v>6</v>
      </c>
      <c r="L132" s="4">
        <f t="shared" si="21"/>
        <v>4.5454545454545459</v>
      </c>
      <c r="M132" s="4">
        <f t="shared" si="22"/>
        <v>13.636363636363635</v>
      </c>
      <c r="N132">
        <v>0</v>
      </c>
      <c r="O132">
        <v>0</v>
      </c>
      <c r="P132" t="s">
        <v>114</v>
      </c>
    </row>
    <row r="133" spans="1:16" x14ac:dyDescent="0.2">
      <c r="E133" s="16"/>
      <c r="G133" s="2" t="s">
        <v>18</v>
      </c>
      <c r="H133">
        <v>2</v>
      </c>
      <c r="I133">
        <v>6</v>
      </c>
      <c r="J133">
        <v>65</v>
      </c>
      <c r="K133">
        <f t="shared" si="20"/>
        <v>8</v>
      </c>
      <c r="L133" s="4">
        <f t="shared" si="21"/>
        <v>3.0769230769230771</v>
      </c>
      <c r="M133" s="4">
        <f t="shared" si="22"/>
        <v>12.307692307692308</v>
      </c>
      <c r="N133">
        <v>0</v>
      </c>
      <c r="O133">
        <v>2</v>
      </c>
    </row>
    <row r="134" spans="1:16" x14ac:dyDescent="0.2">
      <c r="E134" s="16"/>
      <c r="G134" s="2" t="s">
        <v>19</v>
      </c>
      <c r="H134">
        <v>1</v>
      </c>
      <c r="I134">
        <v>5</v>
      </c>
      <c r="J134">
        <v>69</v>
      </c>
      <c r="K134">
        <f t="shared" si="20"/>
        <v>6</v>
      </c>
      <c r="L134" s="4">
        <f t="shared" si="21"/>
        <v>1.4492753623188406</v>
      </c>
      <c r="M134" s="4">
        <f t="shared" si="22"/>
        <v>8.695652173913043</v>
      </c>
      <c r="N134">
        <v>0</v>
      </c>
      <c r="O134">
        <v>1</v>
      </c>
    </row>
    <row r="135" spans="1:16" x14ac:dyDescent="0.2">
      <c r="A135" s="2">
        <v>44</v>
      </c>
      <c r="B135" s="2" t="s">
        <v>113</v>
      </c>
      <c r="C135" s="2" t="s">
        <v>111</v>
      </c>
      <c r="D135" t="s">
        <v>293</v>
      </c>
      <c r="E135" s="16">
        <f t="shared" ref="E135:F135" si="44">AVERAGE(L135:L137)</f>
        <v>1.0263663729010264</v>
      </c>
      <c r="F135" s="4">
        <f t="shared" si="44"/>
        <v>5.8809342472708819</v>
      </c>
      <c r="G135" s="2" t="s">
        <v>17</v>
      </c>
      <c r="H135">
        <v>2</v>
      </c>
      <c r="I135">
        <v>3</v>
      </c>
      <c r="J135">
        <v>101</v>
      </c>
      <c r="K135">
        <f t="shared" ref="K135:K198" si="45">H135+I135</f>
        <v>5</v>
      </c>
      <c r="L135" s="4">
        <f t="shared" ref="L135:L198" si="46">H135/J135*100</f>
        <v>1.9801980198019802</v>
      </c>
      <c r="M135" s="4">
        <f t="shared" ref="M135:M198" si="47">K135/J135*100</f>
        <v>4.9504950495049505</v>
      </c>
      <c r="N135">
        <v>0</v>
      </c>
      <c r="O135">
        <v>0</v>
      </c>
    </row>
    <row r="136" spans="1:16" x14ac:dyDescent="0.2">
      <c r="E136" s="16"/>
      <c r="G136" s="2" t="s">
        <v>18</v>
      </c>
      <c r="H136">
        <v>1</v>
      </c>
      <c r="I136">
        <v>6</v>
      </c>
      <c r="J136">
        <v>91</v>
      </c>
      <c r="K136">
        <f t="shared" si="45"/>
        <v>7</v>
      </c>
      <c r="L136" s="4">
        <f t="shared" si="46"/>
        <v>1.098901098901099</v>
      </c>
      <c r="M136" s="4">
        <f t="shared" si="47"/>
        <v>7.6923076923076925</v>
      </c>
      <c r="N136">
        <v>0</v>
      </c>
      <c r="O136">
        <v>3</v>
      </c>
    </row>
    <row r="137" spans="1:16" x14ac:dyDescent="0.2">
      <c r="E137" s="16"/>
      <c r="G137" s="2" t="s">
        <v>19</v>
      </c>
      <c r="H137">
        <v>0</v>
      </c>
      <c r="I137">
        <v>5</v>
      </c>
      <c r="J137">
        <v>100</v>
      </c>
      <c r="K137">
        <f t="shared" si="45"/>
        <v>5</v>
      </c>
      <c r="L137" s="4">
        <f t="shared" si="46"/>
        <v>0</v>
      </c>
      <c r="M137" s="4">
        <f t="shared" si="47"/>
        <v>5</v>
      </c>
      <c r="N137">
        <v>0</v>
      </c>
      <c r="O137">
        <v>2</v>
      </c>
      <c r="P137" t="s">
        <v>115</v>
      </c>
    </row>
    <row r="138" spans="1:16" x14ac:dyDescent="0.2">
      <c r="A138" s="2">
        <v>45</v>
      </c>
      <c r="B138" s="2" t="s">
        <v>116</v>
      </c>
      <c r="C138" s="2" t="s">
        <v>117</v>
      </c>
      <c r="D138" t="s">
        <v>293</v>
      </c>
      <c r="E138" s="4">
        <f t="shared" ref="E138:F138" si="48">AVERAGE(L138:L140)</f>
        <v>56.437246963562757</v>
      </c>
      <c r="F138" s="4">
        <f t="shared" si="48"/>
        <v>67.296446243814657</v>
      </c>
      <c r="G138" s="2" t="s">
        <v>17</v>
      </c>
      <c r="H138">
        <v>12</v>
      </c>
      <c r="I138">
        <v>2</v>
      </c>
      <c r="J138">
        <v>19</v>
      </c>
      <c r="K138">
        <f t="shared" si="45"/>
        <v>14</v>
      </c>
      <c r="L138" s="4">
        <f t="shared" si="46"/>
        <v>63.157894736842103</v>
      </c>
      <c r="M138" s="4">
        <f t="shared" si="47"/>
        <v>73.68421052631578</v>
      </c>
      <c r="P138" t="s">
        <v>118</v>
      </c>
    </row>
    <row r="139" spans="1:16" x14ac:dyDescent="0.2">
      <c r="C139" s="2" t="s">
        <v>119</v>
      </c>
      <c r="G139" s="2" t="s">
        <v>18</v>
      </c>
      <c r="H139">
        <v>6</v>
      </c>
      <c r="I139">
        <v>2</v>
      </c>
      <c r="J139">
        <v>13</v>
      </c>
      <c r="K139">
        <f t="shared" si="45"/>
        <v>8</v>
      </c>
      <c r="L139" s="4">
        <f t="shared" si="46"/>
        <v>46.153846153846153</v>
      </c>
      <c r="M139" s="4">
        <f t="shared" si="47"/>
        <v>61.53846153846154</v>
      </c>
      <c r="P139" t="s">
        <v>120</v>
      </c>
    </row>
    <row r="140" spans="1:16" x14ac:dyDescent="0.2">
      <c r="G140" s="2" t="s">
        <v>19</v>
      </c>
      <c r="H140">
        <v>9</v>
      </c>
      <c r="I140">
        <v>1</v>
      </c>
      <c r="J140">
        <v>15</v>
      </c>
      <c r="K140">
        <f t="shared" si="45"/>
        <v>10</v>
      </c>
      <c r="L140" s="4">
        <f t="shared" si="46"/>
        <v>60</v>
      </c>
      <c r="M140" s="4">
        <f t="shared" si="47"/>
        <v>66.666666666666657</v>
      </c>
      <c r="P140" t="s">
        <v>121</v>
      </c>
    </row>
    <row r="141" spans="1:16" x14ac:dyDescent="0.2">
      <c r="A141" s="2">
        <v>46</v>
      </c>
      <c r="B141" s="2" t="s">
        <v>116</v>
      </c>
      <c r="C141" s="2" t="s">
        <v>122</v>
      </c>
      <c r="D141" t="s">
        <v>293</v>
      </c>
      <c r="E141" s="4">
        <f t="shared" ref="E141:F141" si="49">AVERAGE(L141:L143)</f>
        <v>32.053872053872055</v>
      </c>
      <c r="F141" s="4">
        <f t="shared" si="49"/>
        <v>38.114478114478118</v>
      </c>
      <c r="G141" s="2" t="s">
        <v>17</v>
      </c>
      <c r="H141">
        <v>3</v>
      </c>
      <c r="I141">
        <v>2</v>
      </c>
      <c r="J141">
        <v>11</v>
      </c>
      <c r="K141">
        <f t="shared" si="45"/>
        <v>5</v>
      </c>
      <c r="L141" s="4">
        <f t="shared" si="46"/>
        <v>27.27272727272727</v>
      </c>
      <c r="M141" s="4">
        <f t="shared" si="47"/>
        <v>45.454545454545453</v>
      </c>
      <c r="P141" t="s">
        <v>123</v>
      </c>
    </row>
    <row r="142" spans="1:16" x14ac:dyDescent="0.2">
      <c r="G142" s="2" t="s">
        <v>18</v>
      </c>
      <c r="H142">
        <v>2</v>
      </c>
      <c r="I142">
        <v>0</v>
      </c>
      <c r="J142">
        <v>15</v>
      </c>
      <c r="K142">
        <f t="shared" si="45"/>
        <v>2</v>
      </c>
      <c r="L142" s="4">
        <f t="shared" si="46"/>
        <v>13.333333333333334</v>
      </c>
      <c r="M142" s="4">
        <f t="shared" si="47"/>
        <v>13.333333333333334</v>
      </c>
      <c r="P142" t="s">
        <v>121</v>
      </c>
    </row>
    <row r="143" spans="1:16" x14ac:dyDescent="0.2">
      <c r="G143" s="2" t="s">
        <v>19</v>
      </c>
      <c r="H143">
        <v>5</v>
      </c>
      <c r="I143">
        <v>0</v>
      </c>
      <c r="J143">
        <v>9</v>
      </c>
      <c r="K143">
        <f t="shared" si="45"/>
        <v>5</v>
      </c>
      <c r="L143" s="4">
        <f t="shared" si="46"/>
        <v>55.555555555555557</v>
      </c>
      <c r="M143" s="4">
        <f t="shared" si="47"/>
        <v>55.555555555555557</v>
      </c>
      <c r="P143" t="s">
        <v>121</v>
      </c>
    </row>
    <row r="144" spans="1:16" x14ac:dyDescent="0.2">
      <c r="A144" s="2">
        <v>47</v>
      </c>
      <c r="B144" s="2" t="s">
        <v>124</v>
      </c>
      <c r="C144" s="2" t="s">
        <v>117</v>
      </c>
      <c r="D144" t="s">
        <v>293</v>
      </c>
      <c r="E144" s="4">
        <f t="shared" ref="E144:F144" si="50">AVERAGE(L144:L146)</f>
        <v>0</v>
      </c>
      <c r="F144" s="4">
        <f t="shared" si="50"/>
        <v>0</v>
      </c>
      <c r="G144" s="2" t="s">
        <v>17</v>
      </c>
      <c r="H144">
        <v>0</v>
      </c>
      <c r="I144">
        <v>0</v>
      </c>
      <c r="J144">
        <v>18</v>
      </c>
      <c r="K144">
        <f t="shared" si="45"/>
        <v>0</v>
      </c>
      <c r="L144" s="4">
        <f t="shared" si="46"/>
        <v>0</v>
      </c>
      <c r="M144" s="4">
        <f t="shared" si="47"/>
        <v>0</v>
      </c>
      <c r="P144" s="5" t="s">
        <v>125</v>
      </c>
    </row>
    <row r="145" spans="1:16" x14ac:dyDescent="0.2">
      <c r="C145" s="2" t="s">
        <v>119</v>
      </c>
      <c r="G145" s="2" t="s">
        <v>18</v>
      </c>
      <c r="H145">
        <v>0</v>
      </c>
      <c r="I145">
        <v>0</v>
      </c>
      <c r="J145">
        <v>27</v>
      </c>
      <c r="K145">
        <f t="shared" si="45"/>
        <v>0</v>
      </c>
      <c r="L145" s="4">
        <f t="shared" si="46"/>
        <v>0</v>
      </c>
      <c r="M145" s="4">
        <f t="shared" si="47"/>
        <v>0</v>
      </c>
      <c r="P145" s="5" t="s">
        <v>126</v>
      </c>
    </row>
    <row r="146" spans="1:16" x14ac:dyDescent="0.2">
      <c r="G146" s="2" t="s">
        <v>19</v>
      </c>
      <c r="H146">
        <v>0</v>
      </c>
      <c r="I146">
        <v>0</v>
      </c>
      <c r="J146">
        <v>19</v>
      </c>
      <c r="K146">
        <f t="shared" si="45"/>
        <v>0</v>
      </c>
      <c r="L146" s="4">
        <f t="shared" si="46"/>
        <v>0</v>
      </c>
      <c r="M146" s="4">
        <f t="shared" si="47"/>
        <v>0</v>
      </c>
      <c r="N146">
        <v>0</v>
      </c>
      <c r="O146">
        <v>2</v>
      </c>
      <c r="P146" s="5" t="s">
        <v>127</v>
      </c>
    </row>
    <row r="147" spans="1:16" x14ac:dyDescent="0.2">
      <c r="A147" s="2">
        <v>48</v>
      </c>
      <c r="B147" s="2" t="s">
        <v>124</v>
      </c>
      <c r="C147" s="2" t="s">
        <v>122</v>
      </c>
      <c r="D147" t="s">
        <v>293</v>
      </c>
      <c r="E147" s="4">
        <f t="shared" ref="E147:F147" si="51">AVERAGE(L147:L149)</f>
        <v>0</v>
      </c>
      <c r="F147" s="4">
        <f t="shared" si="51"/>
        <v>2.3809523809523809</v>
      </c>
      <c r="G147" s="2" t="s">
        <v>17</v>
      </c>
      <c r="H147">
        <v>0</v>
      </c>
      <c r="I147">
        <v>1</v>
      </c>
      <c r="J147">
        <v>14</v>
      </c>
      <c r="K147">
        <f t="shared" si="45"/>
        <v>1</v>
      </c>
      <c r="L147" s="4">
        <f t="shared" si="46"/>
        <v>0</v>
      </c>
      <c r="M147" s="4">
        <f t="shared" si="47"/>
        <v>7.1428571428571423</v>
      </c>
      <c r="P147" t="s">
        <v>128</v>
      </c>
    </row>
    <row r="148" spans="1:16" x14ac:dyDescent="0.2">
      <c r="G148" s="2" t="s">
        <v>18</v>
      </c>
      <c r="H148">
        <v>0</v>
      </c>
      <c r="I148">
        <v>0</v>
      </c>
      <c r="J148">
        <v>13</v>
      </c>
      <c r="K148">
        <f t="shared" si="45"/>
        <v>0</v>
      </c>
      <c r="L148" s="4">
        <f t="shared" si="46"/>
        <v>0</v>
      </c>
      <c r="M148" s="4">
        <f t="shared" si="47"/>
        <v>0</v>
      </c>
      <c r="N148">
        <v>0</v>
      </c>
      <c r="O148">
        <v>3</v>
      </c>
    </row>
    <row r="149" spans="1:16" x14ac:dyDescent="0.2">
      <c r="G149" s="2" t="s">
        <v>19</v>
      </c>
      <c r="H149">
        <v>0</v>
      </c>
      <c r="I149">
        <v>0</v>
      </c>
      <c r="J149">
        <v>15</v>
      </c>
      <c r="K149">
        <f t="shared" si="45"/>
        <v>0</v>
      </c>
      <c r="L149" s="4">
        <f t="shared" si="46"/>
        <v>0</v>
      </c>
      <c r="M149" s="4">
        <f t="shared" si="47"/>
        <v>0</v>
      </c>
      <c r="P149" s="5" t="s">
        <v>129</v>
      </c>
    </row>
    <row r="150" spans="1:16" x14ac:dyDescent="0.2">
      <c r="A150" s="2">
        <v>49</v>
      </c>
      <c r="B150" s="2" t="s">
        <v>130</v>
      </c>
      <c r="C150" s="2" t="s">
        <v>131</v>
      </c>
      <c r="D150" t="s">
        <v>293</v>
      </c>
      <c r="E150" s="16">
        <f t="shared" ref="E150:F150" si="52">AVERAGE(L150:L152)</f>
        <v>42.201142390860873</v>
      </c>
      <c r="F150" s="4">
        <f t="shared" si="52"/>
        <v>49.183326533387735</v>
      </c>
      <c r="G150" s="2" t="s">
        <v>17</v>
      </c>
      <c r="H150">
        <v>101</v>
      </c>
      <c r="I150">
        <v>16</v>
      </c>
      <c r="J150">
        <v>228</v>
      </c>
      <c r="K150">
        <f t="shared" si="45"/>
        <v>117</v>
      </c>
      <c r="L150" s="4">
        <f t="shared" si="46"/>
        <v>44.298245614035089</v>
      </c>
      <c r="M150" s="4">
        <f t="shared" si="47"/>
        <v>51.315789473684212</v>
      </c>
      <c r="P150" t="s">
        <v>132</v>
      </c>
    </row>
    <row r="151" spans="1:16" x14ac:dyDescent="0.2">
      <c r="B151" s="2" t="s">
        <v>133</v>
      </c>
      <c r="C151" s="2" t="s">
        <v>119</v>
      </c>
      <c r="E151" s="16"/>
      <c r="G151" s="2" t="s">
        <v>18</v>
      </c>
      <c r="H151">
        <v>101</v>
      </c>
      <c r="I151">
        <v>21</v>
      </c>
      <c r="J151">
        <v>258</v>
      </c>
      <c r="K151">
        <f t="shared" si="45"/>
        <v>122</v>
      </c>
      <c r="L151" s="4">
        <f t="shared" si="46"/>
        <v>39.147286821705421</v>
      </c>
      <c r="M151" s="4">
        <f t="shared" si="47"/>
        <v>47.286821705426355</v>
      </c>
      <c r="P151" t="s">
        <v>134</v>
      </c>
    </row>
    <row r="152" spans="1:16" x14ac:dyDescent="0.2">
      <c r="E152" s="16"/>
      <c r="G152" s="2" t="s">
        <v>19</v>
      </c>
      <c r="H152">
        <v>82</v>
      </c>
      <c r="I152">
        <v>11</v>
      </c>
      <c r="J152">
        <v>190</v>
      </c>
      <c r="K152">
        <f t="shared" si="45"/>
        <v>93</v>
      </c>
      <c r="L152" s="4">
        <f t="shared" si="46"/>
        <v>43.15789473684211</v>
      </c>
      <c r="M152" s="4">
        <f t="shared" si="47"/>
        <v>48.947368421052637</v>
      </c>
    </row>
    <row r="153" spans="1:16" x14ac:dyDescent="0.2">
      <c r="A153" s="2">
        <v>50</v>
      </c>
      <c r="B153" s="2" t="s">
        <v>135</v>
      </c>
      <c r="C153" s="2" t="s">
        <v>97</v>
      </c>
      <c r="D153" t="s">
        <v>293</v>
      </c>
      <c r="E153" s="16">
        <f t="shared" ref="E153:F153" si="53">AVERAGE(L153:L155)</f>
        <v>11.948209431046957</v>
      </c>
      <c r="F153" s="4">
        <f t="shared" si="53"/>
        <v>13.397484793365798</v>
      </c>
      <c r="G153" s="2" t="s">
        <v>17</v>
      </c>
      <c r="H153">
        <v>5</v>
      </c>
      <c r="I153">
        <v>0</v>
      </c>
      <c r="J153">
        <v>38</v>
      </c>
      <c r="K153">
        <f t="shared" si="45"/>
        <v>5</v>
      </c>
      <c r="L153" s="4">
        <f t="shared" si="46"/>
        <v>13.157894736842104</v>
      </c>
      <c r="M153" s="4">
        <f t="shared" si="47"/>
        <v>13.157894736842104</v>
      </c>
    </row>
    <row r="154" spans="1:16" x14ac:dyDescent="0.2">
      <c r="E154" s="16"/>
      <c r="G154" s="2" t="s">
        <v>18</v>
      </c>
      <c r="H154">
        <v>8</v>
      </c>
      <c r="I154">
        <v>0</v>
      </c>
      <c r="J154">
        <v>39</v>
      </c>
      <c r="K154">
        <f t="shared" si="45"/>
        <v>8</v>
      </c>
      <c r="L154" s="4">
        <f t="shared" si="46"/>
        <v>20.512820512820511</v>
      </c>
      <c r="M154" s="4">
        <f t="shared" si="47"/>
        <v>20.512820512820511</v>
      </c>
    </row>
    <row r="155" spans="1:16" x14ac:dyDescent="0.2">
      <c r="E155" s="16"/>
      <c r="G155" s="2" t="s">
        <v>19</v>
      </c>
      <c r="H155">
        <v>1</v>
      </c>
      <c r="I155">
        <v>2</v>
      </c>
      <c r="J155">
        <v>46</v>
      </c>
      <c r="K155">
        <f t="shared" si="45"/>
        <v>3</v>
      </c>
      <c r="L155" s="4">
        <f t="shared" si="46"/>
        <v>2.1739130434782608</v>
      </c>
      <c r="M155" s="4">
        <f t="shared" si="47"/>
        <v>6.5217391304347823</v>
      </c>
      <c r="N155">
        <v>0</v>
      </c>
      <c r="O155">
        <v>4</v>
      </c>
    </row>
    <row r="156" spans="1:16" x14ac:dyDescent="0.2">
      <c r="A156" s="2">
        <v>51</v>
      </c>
      <c r="B156" s="2" t="s">
        <v>136</v>
      </c>
      <c r="C156" s="2" t="s">
        <v>111</v>
      </c>
      <c r="D156" t="s">
        <v>293</v>
      </c>
      <c r="E156" s="16">
        <f t="shared" ref="E156:F156" si="54">AVERAGE(L156:L158)</f>
        <v>37.419590643274852</v>
      </c>
      <c r="F156" s="4">
        <f t="shared" si="54"/>
        <v>38.837719298245609</v>
      </c>
      <c r="G156" s="2" t="s">
        <v>17</v>
      </c>
      <c r="H156">
        <v>11</v>
      </c>
      <c r="I156">
        <v>1</v>
      </c>
      <c r="J156">
        <v>40</v>
      </c>
      <c r="K156">
        <f t="shared" si="45"/>
        <v>12</v>
      </c>
      <c r="L156" s="4">
        <f t="shared" si="46"/>
        <v>27.500000000000004</v>
      </c>
      <c r="M156" s="4">
        <f t="shared" si="47"/>
        <v>30</v>
      </c>
      <c r="P156" t="s">
        <v>137</v>
      </c>
    </row>
    <row r="157" spans="1:16" x14ac:dyDescent="0.2">
      <c r="E157" s="16"/>
      <c r="G157" s="2" t="s">
        <v>18</v>
      </c>
      <c r="H157">
        <v>21</v>
      </c>
      <c r="I157">
        <v>1</v>
      </c>
      <c r="J157">
        <v>57</v>
      </c>
      <c r="K157">
        <f t="shared" si="45"/>
        <v>22</v>
      </c>
      <c r="L157" s="4">
        <f t="shared" si="46"/>
        <v>36.84210526315789</v>
      </c>
      <c r="M157" s="4">
        <f t="shared" si="47"/>
        <v>38.596491228070171</v>
      </c>
    </row>
    <row r="158" spans="1:16" x14ac:dyDescent="0.2">
      <c r="E158" s="16"/>
      <c r="G158" s="2" t="s">
        <v>19</v>
      </c>
      <c r="H158">
        <v>23</v>
      </c>
      <c r="I158">
        <v>0</v>
      </c>
      <c r="J158">
        <v>48</v>
      </c>
      <c r="K158">
        <f t="shared" si="45"/>
        <v>23</v>
      </c>
      <c r="L158" s="4">
        <f t="shared" si="46"/>
        <v>47.916666666666671</v>
      </c>
      <c r="M158" s="4">
        <f t="shared" si="47"/>
        <v>47.916666666666671</v>
      </c>
    </row>
    <row r="159" spans="1:16" s="11" customFormat="1" x14ac:dyDescent="0.2">
      <c r="A159" s="10">
        <v>52</v>
      </c>
      <c r="B159" s="10" t="s">
        <v>138</v>
      </c>
      <c r="C159" s="10" t="s">
        <v>139</v>
      </c>
      <c r="E159" s="12">
        <f t="shared" ref="E159:F159" si="55">AVERAGE(L159:L161)</f>
        <v>0</v>
      </c>
      <c r="F159" s="12">
        <f t="shared" si="55"/>
        <v>0</v>
      </c>
      <c r="G159" s="10" t="s">
        <v>17</v>
      </c>
      <c r="H159" s="11">
        <v>0</v>
      </c>
      <c r="I159" s="11">
        <v>0</v>
      </c>
      <c r="J159" s="11">
        <v>72</v>
      </c>
      <c r="K159" s="11">
        <f t="shared" si="45"/>
        <v>0</v>
      </c>
      <c r="L159" s="12">
        <f t="shared" si="46"/>
        <v>0</v>
      </c>
      <c r="M159" s="12">
        <f t="shared" si="47"/>
        <v>0</v>
      </c>
      <c r="P159" s="11" t="s">
        <v>140</v>
      </c>
    </row>
    <row r="160" spans="1:16" s="11" customFormat="1" x14ac:dyDescent="0.2">
      <c r="A160" s="10"/>
      <c r="B160" s="10"/>
      <c r="C160" s="10"/>
      <c r="E160" s="12"/>
      <c r="F160" s="12"/>
      <c r="G160" s="10" t="s">
        <v>18</v>
      </c>
      <c r="H160" s="11">
        <v>0</v>
      </c>
      <c r="I160" s="11">
        <v>0</v>
      </c>
      <c r="J160" s="11">
        <v>84</v>
      </c>
      <c r="K160" s="11">
        <f t="shared" si="45"/>
        <v>0</v>
      </c>
      <c r="L160" s="12">
        <f t="shared" si="46"/>
        <v>0</v>
      </c>
      <c r="M160" s="12">
        <f t="shared" si="47"/>
        <v>0</v>
      </c>
      <c r="P160" s="11" t="s">
        <v>141</v>
      </c>
    </row>
    <row r="161" spans="1:16" s="11" customFormat="1" x14ac:dyDescent="0.2">
      <c r="A161" s="10"/>
      <c r="B161" s="10"/>
      <c r="C161" s="10"/>
      <c r="E161" s="12"/>
      <c r="F161" s="12"/>
      <c r="G161" s="10" t="s">
        <v>19</v>
      </c>
      <c r="H161" s="11">
        <v>0</v>
      </c>
      <c r="I161" s="11">
        <v>0</v>
      </c>
      <c r="J161" s="11">
        <v>79</v>
      </c>
      <c r="K161" s="11">
        <f t="shared" si="45"/>
        <v>0</v>
      </c>
      <c r="L161" s="12">
        <f t="shared" si="46"/>
        <v>0</v>
      </c>
      <c r="M161" s="12">
        <f t="shared" si="47"/>
        <v>0</v>
      </c>
      <c r="P161" s="11" t="s">
        <v>141</v>
      </c>
    </row>
    <row r="162" spans="1:16" x14ac:dyDescent="0.2">
      <c r="A162" s="2">
        <v>53</v>
      </c>
      <c r="B162" s="2" t="s">
        <v>142</v>
      </c>
      <c r="C162" s="2" t="s">
        <v>143</v>
      </c>
      <c r="D162" t="s">
        <v>296</v>
      </c>
      <c r="E162" s="18">
        <f t="shared" ref="E162:F162" si="56">AVERAGE(L162:L164)</f>
        <v>17.381085098476401</v>
      </c>
      <c r="F162" s="4">
        <f t="shared" si="56"/>
        <v>26.401567315889565</v>
      </c>
      <c r="G162" s="2" t="s">
        <v>17</v>
      </c>
      <c r="H162">
        <v>17</v>
      </c>
      <c r="I162">
        <v>8</v>
      </c>
      <c r="J162">
        <v>104</v>
      </c>
      <c r="K162">
        <f t="shared" si="45"/>
        <v>25</v>
      </c>
      <c r="L162" s="4">
        <f t="shared" si="46"/>
        <v>16.346153846153847</v>
      </c>
      <c r="M162" s="4">
        <f t="shared" si="47"/>
        <v>24.03846153846154</v>
      </c>
      <c r="N162">
        <v>0</v>
      </c>
      <c r="O162">
        <v>8</v>
      </c>
      <c r="P162" t="s">
        <v>144</v>
      </c>
    </row>
    <row r="163" spans="1:16" x14ac:dyDescent="0.2">
      <c r="E163" s="18"/>
      <c r="G163" s="2" t="s">
        <v>18</v>
      </c>
      <c r="H163">
        <v>22</v>
      </c>
      <c r="I163">
        <v>11</v>
      </c>
      <c r="J163">
        <v>115</v>
      </c>
      <c r="K163">
        <f t="shared" si="45"/>
        <v>33</v>
      </c>
      <c r="L163" s="4">
        <f t="shared" si="46"/>
        <v>19.130434782608695</v>
      </c>
      <c r="M163" s="4">
        <f t="shared" si="47"/>
        <v>28.695652173913043</v>
      </c>
      <c r="P163" t="s">
        <v>145</v>
      </c>
    </row>
    <row r="164" spans="1:16" x14ac:dyDescent="0.2">
      <c r="E164" s="18"/>
      <c r="G164" s="2" t="s">
        <v>19</v>
      </c>
      <c r="H164">
        <v>17</v>
      </c>
      <c r="I164">
        <v>10</v>
      </c>
      <c r="J164">
        <v>102</v>
      </c>
      <c r="K164">
        <f t="shared" si="45"/>
        <v>27</v>
      </c>
      <c r="L164" s="4">
        <f t="shared" si="46"/>
        <v>16.666666666666664</v>
      </c>
      <c r="M164" s="4">
        <f t="shared" si="47"/>
        <v>26.47058823529412</v>
      </c>
      <c r="N164">
        <v>0</v>
      </c>
      <c r="O164">
        <v>2</v>
      </c>
    </row>
    <row r="165" spans="1:16" x14ac:dyDescent="0.2">
      <c r="A165" s="2">
        <v>54</v>
      </c>
      <c r="B165" s="2" t="s">
        <v>142</v>
      </c>
      <c r="C165" s="2" t="s">
        <v>146</v>
      </c>
      <c r="D165" t="s">
        <v>296</v>
      </c>
      <c r="E165" s="18">
        <f t="shared" ref="E165:F165" si="57">AVERAGE(L165:L167)</f>
        <v>13.306867223917914</v>
      </c>
      <c r="F165" s="4">
        <f t="shared" si="57"/>
        <v>14.316968234018924</v>
      </c>
      <c r="G165" s="2" t="s">
        <v>17</v>
      </c>
      <c r="H165">
        <v>19</v>
      </c>
      <c r="I165">
        <v>4</v>
      </c>
      <c r="J165">
        <v>132</v>
      </c>
      <c r="K165">
        <f t="shared" si="45"/>
        <v>23</v>
      </c>
      <c r="L165" s="4">
        <f t="shared" si="46"/>
        <v>14.393939393939394</v>
      </c>
      <c r="M165" s="4">
        <f t="shared" si="47"/>
        <v>17.424242424242426</v>
      </c>
      <c r="P165" t="s">
        <v>144</v>
      </c>
    </row>
    <row r="166" spans="1:16" x14ac:dyDescent="0.2">
      <c r="E166" s="18"/>
      <c r="G166" s="2" t="s">
        <v>18</v>
      </c>
      <c r="H166">
        <v>10</v>
      </c>
      <c r="I166">
        <v>0</v>
      </c>
      <c r="J166">
        <v>98</v>
      </c>
      <c r="K166">
        <f t="shared" si="45"/>
        <v>10</v>
      </c>
      <c r="L166" s="4">
        <f t="shared" si="46"/>
        <v>10.204081632653061</v>
      </c>
      <c r="M166" s="4">
        <f t="shared" si="47"/>
        <v>10.204081632653061</v>
      </c>
      <c r="P166" t="s">
        <v>147</v>
      </c>
    </row>
    <row r="167" spans="1:16" x14ac:dyDescent="0.2">
      <c r="E167" s="18"/>
      <c r="G167" s="2" t="s">
        <v>19</v>
      </c>
      <c r="H167">
        <v>19</v>
      </c>
      <c r="I167">
        <v>0</v>
      </c>
      <c r="J167">
        <v>124</v>
      </c>
      <c r="K167">
        <f t="shared" si="45"/>
        <v>19</v>
      </c>
      <c r="L167" s="4">
        <f t="shared" si="46"/>
        <v>15.32258064516129</v>
      </c>
      <c r="M167" s="4">
        <f t="shared" si="47"/>
        <v>15.32258064516129</v>
      </c>
      <c r="P167" t="s">
        <v>148</v>
      </c>
    </row>
    <row r="168" spans="1:16" x14ac:dyDescent="0.2">
      <c r="A168" s="2">
        <v>55</v>
      </c>
      <c r="B168" s="2" t="s">
        <v>149</v>
      </c>
      <c r="C168" s="2" t="s">
        <v>143</v>
      </c>
      <c r="D168" t="s">
        <v>296</v>
      </c>
      <c r="E168" s="18">
        <f t="shared" ref="E168:F168" si="58">AVERAGE(L168:L170)</f>
        <v>37.150544928322709</v>
      </c>
      <c r="F168" s="4">
        <f t="shared" si="58"/>
        <v>39.678017455795235</v>
      </c>
      <c r="G168" s="2" t="s">
        <v>17</v>
      </c>
      <c r="H168">
        <v>35</v>
      </c>
      <c r="I168">
        <v>0</v>
      </c>
      <c r="J168">
        <v>81</v>
      </c>
      <c r="K168">
        <f t="shared" si="45"/>
        <v>35</v>
      </c>
      <c r="L168" s="4">
        <f t="shared" si="46"/>
        <v>43.209876543209873</v>
      </c>
      <c r="M168" s="4">
        <f t="shared" si="47"/>
        <v>43.209876543209873</v>
      </c>
      <c r="P168" t="s">
        <v>150</v>
      </c>
    </row>
    <row r="169" spans="1:16" x14ac:dyDescent="0.2">
      <c r="E169" s="18"/>
      <c r="G169" s="2" t="s">
        <v>18</v>
      </c>
      <c r="H169">
        <v>23</v>
      </c>
      <c r="I169">
        <v>1</v>
      </c>
      <c r="J169">
        <v>70</v>
      </c>
      <c r="K169">
        <f t="shared" si="45"/>
        <v>24</v>
      </c>
      <c r="L169" s="4">
        <f t="shared" si="46"/>
        <v>32.857142857142854</v>
      </c>
      <c r="M169" s="4">
        <f t="shared" si="47"/>
        <v>34.285714285714285</v>
      </c>
      <c r="N169">
        <v>0</v>
      </c>
      <c r="O169">
        <v>2</v>
      </c>
    </row>
    <row r="170" spans="1:16" x14ac:dyDescent="0.2">
      <c r="E170" s="18"/>
      <c r="G170" s="2" t="s">
        <v>19</v>
      </c>
      <c r="H170">
        <v>23</v>
      </c>
      <c r="I170">
        <v>4</v>
      </c>
      <c r="J170">
        <v>65</v>
      </c>
      <c r="K170">
        <f t="shared" si="45"/>
        <v>27</v>
      </c>
      <c r="L170" s="4">
        <f t="shared" si="46"/>
        <v>35.384615384615387</v>
      </c>
      <c r="M170" s="4">
        <f t="shared" si="47"/>
        <v>41.53846153846154</v>
      </c>
      <c r="N170">
        <v>0</v>
      </c>
      <c r="O170">
        <v>4</v>
      </c>
    </row>
    <row r="171" spans="1:16" x14ac:dyDescent="0.2">
      <c r="A171" s="2">
        <v>56</v>
      </c>
      <c r="B171" s="2" t="s">
        <v>149</v>
      </c>
      <c r="C171" s="2" t="s">
        <v>146</v>
      </c>
      <c r="D171" t="s">
        <v>296</v>
      </c>
      <c r="E171" s="18">
        <f t="shared" ref="E171:F171" si="59">AVERAGE(L171:L173)</f>
        <v>92.686063672780946</v>
      </c>
      <c r="F171" s="4">
        <f t="shared" si="59"/>
        <v>92.686063672780946</v>
      </c>
      <c r="G171" s="2" t="s">
        <v>17</v>
      </c>
      <c r="H171">
        <v>29</v>
      </c>
      <c r="I171">
        <v>0</v>
      </c>
      <c r="J171">
        <v>31</v>
      </c>
      <c r="K171">
        <f t="shared" si="45"/>
        <v>29</v>
      </c>
      <c r="L171" s="4">
        <f t="shared" si="46"/>
        <v>93.548387096774192</v>
      </c>
      <c r="M171" s="4">
        <f t="shared" si="47"/>
        <v>93.548387096774192</v>
      </c>
      <c r="P171" t="s">
        <v>151</v>
      </c>
    </row>
    <row r="172" spans="1:16" x14ac:dyDescent="0.2">
      <c r="E172" s="18"/>
      <c r="G172" s="2" t="s">
        <v>18</v>
      </c>
      <c r="H172">
        <v>28</v>
      </c>
      <c r="I172">
        <v>0</v>
      </c>
      <c r="J172">
        <v>30</v>
      </c>
      <c r="K172">
        <f t="shared" si="45"/>
        <v>28</v>
      </c>
      <c r="L172" s="4">
        <f t="shared" si="46"/>
        <v>93.333333333333329</v>
      </c>
      <c r="M172" s="4">
        <f t="shared" si="47"/>
        <v>93.333333333333329</v>
      </c>
      <c r="N172">
        <v>0</v>
      </c>
      <c r="O172">
        <v>1</v>
      </c>
    </row>
    <row r="173" spans="1:16" x14ac:dyDescent="0.2">
      <c r="E173" s="18"/>
      <c r="G173" s="2" t="s">
        <v>19</v>
      </c>
      <c r="H173">
        <v>31</v>
      </c>
      <c r="I173">
        <v>0</v>
      </c>
      <c r="J173">
        <v>34</v>
      </c>
      <c r="K173">
        <f t="shared" si="45"/>
        <v>31</v>
      </c>
      <c r="L173" s="4">
        <f t="shared" si="46"/>
        <v>91.17647058823529</v>
      </c>
      <c r="M173" s="4">
        <f t="shared" si="47"/>
        <v>91.17647058823529</v>
      </c>
    </row>
    <row r="174" spans="1:16" x14ac:dyDescent="0.2">
      <c r="A174" s="2">
        <v>57</v>
      </c>
      <c r="B174" s="2" t="s">
        <v>152</v>
      </c>
      <c r="C174" s="2" t="s">
        <v>153</v>
      </c>
      <c r="D174" t="s">
        <v>296</v>
      </c>
      <c r="E174" s="18">
        <f t="shared" ref="E174:F174" si="60">AVERAGE(L174:L176)</f>
        <v>41.567460317460323</v>
      </c>
      <c r="F174" s="4">
        <f t="shared" si="60"/>
        <v>41.567460317460323</v>
      </c>
      <c r="G174" s="2" t="s">
        <v>17</v>
      </c>
      <c r="H174">
        <v>9</v>
      </c>
      <c r="I174">
        <v>0</v>
      </c>
      <c r="J174">
        <v>14</v>
      </c>
      <c r="K174">
        <f t="shared" si="45"/>
        <v>9</v>
      </c>
      <c r="L174" s="4">
        <f t="shared" si="46"/>
        <v>64.285714285714292</v>
      </c>
      <c r="M174" s="4">
        <f t="shared" si="47"/>
        <v>64.285714285714292</v>
      </c>
    </row>
    <row r="175" spans="1:16" x14ac:dyDescent="0.2">
      <c r="E175" s="18"/>
      <c r="G175" s="2" t="s">
        <v>18</v>
      </c>
      <c r="H175">
        <v>5</v>
      </c>
      <c r="I175">
        <v>0</v>
      </c>
      <c r="J175">
        <v>16</v>
      </c>
      <c r="K175">
        <f t="shared" si="45"/>
        <v>5</v>
      </c>
      <c r="L175" s="4">
        <f t="shared" si="46"/>
        <v>31.25</v>
      </c>
      <c r="M175" s="4">
        <f t="shared" si="47"/>
        <v>31.25</v>
      </c>
      <c r="P175" t="s">
        <v>154</v>
      </c>
    </row>
    <row r="176" spans="1:16" x14ac:dyDescent="0.2">
      <c r="E176" s="18"/>
      <c r="G176" s="2" t="s">
        <v>19</v>
      </c>
      <c r="H176">
        <v>7</v>
      </c>
      <c r="I176">
        <v>0</v>
      </c>
      <c r="J176">
        <v>24</v>
      </c>
      <c r="K176">
        <f t="shared" si="45"/>
        <v>7</v>
      </c>
      <c r="L176" s="4">
        <f t="shared" si="46"/>
        <v>29.166666666666668</v>
      </c>
      <c r="M176" s="4">
        <f t="shared" si="47"/>
        <v>29.166666666666668</v>
      </c>
    </row>
    <row r="177" spans="1:16" x14ac:dyDescent="0.2">
      <c r="A177" s="2">
        <v>58</v>
      </c>
      <c r="B177" s="2" t="s">
        <v>152</v>
      </c>
      <c r="C177" s="2" t="s">
        <v>155</v>
      </c>
      <c r="D177" t="s">
        <v>296</v>
      </c>
      <c r="E177" s="18">
        <f t="shared" ref="E177:F177" si="61">AVERAGE(L177:L179)</f>
        <v>67.92022792022793</v>
      </c>
      <c r="F177" s="4">
        <f t="shared" si="61"/>
        <v>70.142450142450144</v>
      </c>
      <c r="G177" s="2" t="s">
        <v>17</v>
      </c>
      <c r="H177">
        <v>8</v>
      </c>
      <c r="I177">
        <v>0</v>
      </c>
      <c r="J177">
        <v>9</v>
      </c>
      <c r="K177">
        <f t="shared" si="45"/>
        <v>8</v>
      </c>
      <c r="L177" s="4">
        <f t="shared" si="46"/>
        <v>88.888888888888886</v>
      </c>
      <c r="M177" s="4">
        <f t="shared" si="47"/>
        <v>88.888888888888886</v>
      </c>
    </row>
    <row r="178" spans="1:16" x14ac:dyDescent="0.2">
      <c r="E178" s="18"/>
      <c r="G178" s="2" t="s">
        <v>18</v>
      </c>
      <c r="H178">
        <v>8</v>
      </c>
      <c r="I178">
        <v>0</v>
      </c>
      <c r="J178">
        <v>13</v>
      </c>
      <c r="K178">
        <f t="shared" si="45"/>
        <v>8</v>
      </c>
      <c r="L178" s="4">
        <f t="shared" si="46"/>
        <v>61.53846153846154</v>
      </c>
      <c r="M178" s="4">
        <f t="shared" si="47"/>
        <v>61.53846153846154</v>
      </c>
    </row>
    <row r="179" spans="1:16" x14ac:dyDescent="0.2">
      <c r="E179" s="18"/>
      <c r="G179" s="2" t="s">
        <v>19</v>
      </c>
      <c r="H179">
        <v>8</v>
      </c>
      <c r="I179">
        <v>1</v>
      </c>
      <c r="J179">
        <v>15</v>
      </c>
      <c r="K179">
        <f t="shared" si="45"/>
        <v>9</v>
      </c>
      <c r="L179" s="4">
        <f t="shared" si="46"/>
        <v>53.333333333333336</v>
      </c>
      <c r="M179" s="4">
        <f t="shared" si="47"/>
        <v>60</v>
      </c>
      <c r="N179">
        <v>0</v>
      </c>
      <c r="O179">
        <v>1</v>
      </c>
      <c r="P179" t="s">
        <v>156</v>
      </c>
    </row>
    <row r="180" spans="1:16" x14ac:dyDescent="0.2">
      <c r="A180" s="2">
        <v>59</v>
      </c>
      <c r="B180" s="2" t="s">
        <v>157</v>
      </c>
      <c r="C180" s="2" t="s">
        <v>153</v>
      </c>
      <c r="D180" t="s">
        <v>296</v>
      </c>
      <c r="E180" s="18">
        <f t="shared" ref="E180:F180" si="62">AVERAGE(L180:L182)</f>
        <v>18.926128590971274</v>
      </c>
      <c r="F180" s="4">
        <f t="shared" si="62"/>
        <v>22.407660738714089</v>
      </c>
      <c r="G180" s="2" t="s">
        <v>17</v>
      </c>
      <c r="H180">
        <v>21</v>
      </c>
      <c r="I180">
        <v>1</v>
      </c>
      <c r="J180">
        <v>136</v>
      </c>
      <c r="K180">
        <f t="shared" si="45"/>
        <v>22</v>
      </c>
      <c r="L180" s="4">
        <f t="shared" si="46"/>
        <v>15.441176470588236</v>
      </c>
      <c r="M180" s="4">
        <f t="shared" si="47"/>
        <v>16.176470588235293</v>
      </c>
      <c r="N180">
        <v>44</v>
      </c>
      <c r="O180">
        <v>0</v>
      </c>
      <c r="P180" t="s">
        <v>158</v>
      </c>
    </row>
    <row r="181" spans="1:16" x14ac:dyDescent="0.2">
      <c r="E181" s="18"/>
      <c r="G181" s="2" t="s">
        <v>18</v>
      </c>
      <c r="H181">
        <v>31</v>
      </c>
      <c r="I181">
        <v>7</v>
      </c>
      <c r="J181">
        <v>120</v>
      </c>
      <c r="K181">
        <f t="shared" si="45"/>
        <v>38</v>
      </c>
      <c r="L181" s="4">
        <f t="shared" si="46"/>
        <v>25.833333333333336</v>
      </c>
      <c r="M181" s="4">
        <f t="shared" si="47"/>
        <v>31.666666666666664</v>
      </c>
      <c r="N181">
        <v>38</v>
      </c>
      <c r="O181">
        <v>4</v>
      </c>
      <c r="P181" t="s">
        <v>159</v>
      </c>
    </row>
    <row r="182" spans="1:16" x14ac:dyDescent="0.2">
      <c r="E182" s="18"/>
      <c r="G182" s="2" t="s">
        <v>19</v>
      </c>
      <c r="H182">
        <v>20</v>
      </c>
      <c r="I182">
        <v>5</v>
      </c>
      <c r="J182">
        <v>129</v>
      </c>
      <c r="K182">
        <f t="shared" si="45"/>
        <v>25</v>
      </c>
      <c r="L182" s="4">
        <f t="shared" si="46"/>
        <v>15.503875968992247</v>
      </c>
      <c r="M182" s="4">
        <f t="shared" si="47"/>
        <v>19.379844961240313</v>
      </c>
      <c r="N182">
        <v>43</v>
      </c>
      <c r="O182">
        <v>1</v>
      </c>
    </row>
    <row r="183" spans="1:16" x14ac:dyDescent="0.2">
      <c r="A183" s="2">
        <v>60</v>
      </c>
      <c r="B183" s="2" t="s">
        <v>157</v>
      </c>
      <c r="C183" s="2" t="s">
        <v>155</v>
      </c>
      <c r="D183" t="s">
        <v>296</v>
      </c>
      <c r="E183" s="18">
        <f t="shared" ref="E183:F183" si="63">AVERAGE(L183:L185)</f>
        <v>25.062062107922742</v>
      </c>
      <c r="F183" s="4">
        <f t="shared" si="63"/>
        <v>28.590651401848543</v>
      </c>
      <c r="G183" s="2" t="s">
        <v>17</v>
      </c>
      <c r="H183">
        <v>22</v>
      </c>
      <c r="I183">
        <v>4</v>
      </c>
      <c r="J183">
        <v>117</v>
      </c>
      <c r="K183">
        <f t="shared" si="45"/>
        <v>26</v>
      </c>
      <c r="L183" s="4">
        <f t="shared" si="46"/>
        <v>18.803418803418804</v>
      </c>
      <c r="M183" s="4">
        <f t="shared" si="47"/>
        <v>22.222222222222221</v>
      </c>
      <c r="N183">
        <v>20</v>
      </c>
      <c r="O183">
        <v>0</v>
      </c>
    </row>
    <row r="184" spans="1:16" x14ac:dyDescent="0.2">
      <c r="E184" s="18"/>
      <c r="G184" s="2" t="s">
        <v>18</v>
      </c>
      <c r="H184">
        <v>20</v>
      </c>
      <c r="I184">
        <v>1</v>
      </c>
      <c r="J184">
        <v>73</v>
      </c>
      <c r="K184">
        <f t="shared" si="45"/>
        <v>21</v>
      </c>
      <c r="L184" s="4">
        <f t="shared" si="46"/>
        <v>27.397260273972602</v>
      </c>
      <c r="M184" s="4">
        <f t="shared" si="47"/>
        <v>28.767123287671232</v>
      </c>
      <c r="N184">
        <v>25</v>
      </c>
      <c r="O184">
        <v>2</v>
      </c>
      <c r="P184" t="s">
        <v>160</v>
      </c>
    </row>
    <row r="185" spans="1:16" x14ac:dyDescent="0.2">
      <c r="E185" s="18"/>
      <c r="G185" s="2" t="s">
        <v>19</v>
      </c>
      <c r="H185">
        <v>20</v>
      </c>
      <c r="I185">
        <v>4</v>
      </c>
      <c r="J185">
        <v>69</v>
      </c>
      <c r="K185">
        <f t="shared" si="45"/>
        <v>24</v>
      </c>
      <c r="L185" s="4">
        <f t="shared" si="46"/>
        <v>28.985507246376812</v>
      </c>
      <c r="M185" s="4">
        <f t="shared" si="47"/>
        <v>34.782608695652172</v>
      </c>
      <c r="N185">
        <v>23</v>
      </c>
      <c r="O185">
        <v>0</v>
      </c>
      <c r="P185" s="5" t="s">
        <v>161</v>
      </c>
    </row>
    <row r="186" spans="1:16" x14ac:dyDescent="0.2">
      <c r="A186" s="2">
        <v>61</v>
      </c>
      <c r="B186" s="2" t="s">
        <v>162</v>
      </c>
      <c r="C186" s="2" t="s">
        <v>49</v>
      </c>
      <c r="D186" t="s">
        <v>296</v>
      </c>
      <c r="E186" s="18">
        <f t="shared" ref="E186:F186" si="64">AVERAGE(L186:L188)</f>
        <v>60.632183908045981</v>
      </c>
      <c r="F186" s="4">
        <f t="shared" si="64"/>
        <v>63.269704433497537</v>
      </c>
      <c r="G186" s="2" t="s">
        <v>17</v>
      </c>
      <c r="H186">
        <v>76</v>
      </c>
      <c r="I186">
        <v>5</v>
      </c>
      <c r="J186">
        <v>112</v>
      </c>
      <c r="K186">
        <f t="shared" si="45"/>
        <v>81</v>
      </c>
      <c r="L186" s="4">
        <f t="shared" si="46"/>
        <v>67.857142857142861</v>
      </c>
      <c r="M186" s="4">
        <f t="shared" si="47"/>
        <v>72.321428571428569</v>
      </c>
      <c r="N186">
        <v>0</v>
      </c>
      <c r="O186">
        <v>2</v>
      </c>
      <c r="P186" t="s">
        <v>163</v>
      </c>
    </row>
    <row r="187" spans="1:16" x14ac:dyDescent="0.2">
      <c r="E187" s="18"/>
      <c r="G187" s="2" t="s">
        <v>18</v>
      </c>
      <c r="H187">
        <v>64</v>
      </c>
      <c r="I187">
        <v>0</v>
      </c>
      <c r="J187">
        <v>112</v>
      </c>
      <c r="K187">
        <f t="shared" si="45"/>
        <v>64</v>
      </c>
      <c r="L187" s="4">
        <f t="shared" si="46"/>
        <v>57.142857142857139</v>
      </c>
      <c r="M187" s="4">
        <f t="shared" si="47"/>
        <v>57.142857142857139</v>
      </c>
      <c r="N187">
        <v>0</v>
      </c>
      <c r="O187">
        <v>9</v>
      </c>
    </row>
    <row r="188" spans="1:16" x14ac:dyDescent="0.2">
      <c r="E188" s="18"/>
      <c r="G188" s="2" t="s">
        <v>19</v>
      </c>
      <c r="H188">
        <v>66</v>
      </c>
      <c r="I188">
        <v>4</v>
      </c>
      <c r="J188">
        <v>116</v>
      </c>
      <c r="K188">
        <f t="shared" si="45"/>
        <v>70</v>
      </c>
      <c r="L188" s="4">
        <f t="shared" si="46"/>
        <v>56.896551724137936</v>
      </c>
      <c r="M188" s="4">
        <f t="shared" si="47"/>
        <v>60.344827586206897</v>
      </c>
      <c r="N188">
        <v>0</v>
      </c>
      <c r="O188">
        <v>2</v>
      </c>
    </row>
    <row r="189" spans="1:16" x14ac:dyDescent="0.2">
      <c r="A189" s="2">
        <v>62</v>
      </c>
      <c r="B189" s="2" t="s">
        <v>162</v>
      </c>
      <c r="C189" s="2" t="s">
        <v>27</v>
      </c>
      <c r="D189" t="s">
        <v>296</v>
      </c>
      <c r="E189" s="18">
        <f t="shared" ref="E189:F189" si="65">AVERAGE(L189:L191)</f>
        <v>83.482482863670981</v>
      </c>
      <c r="F189" s="4">
        <f t="shared" si="65"/>
        <v>88.370029310623366</v>
      </c>
      <c r="G189" s="2" t="s">
        <v>17</v>
      </c>
      <c r="H189">
        <v>105</v>
      </c>
      <c r="I189">
        <v>6</v>
      </c>
      <c r="J189">
        <v>130</v>
      </c>
      <c r="K189">
        <f t="shared" si="45"/>
        <v>111</v>
      </c>
      <c r="L189" s="4">
        <f t="shared" si="46"/>
        <v>80.769230769230774</v>
      </c>
      <c r="M189" s="4">
        <f t="shared" si="47"/>
        <v>85.384615384615387</v>
      </c>
      <c r="P189" t="s">
        <v>164</v>
      </c>
    </row>
    <row r="190" spans="1:16" x14ac:dyDescent="0.2">
      <c r="E190" s="18"/>
      <c r="G190" s="2" t="s">
        <v>18</v>
      </c>
      <c r="H190">
        <v>77</v>
      </c>
      <c r="I190">
        <v>1</v>
      </c>
      <c r="J190">
        <v>88</v>
      </c>
      <c r="K190">
        <f t="shared" si="45"/>
        <v>78</v>
      </c>
      <c r="L190" s="4">
        <f t="shared" si="46"/>
        <v>87.5</v>
      </c>
      <c r="M190" s="4">
        <f t="shared" si="47"/>
        <v>88.63636363636364</v>
      </c>
      <c r="N190">
        <v>0</v>
      </c>
      <c r="O190">
        <v>1</v>
      </c>
    </row>
    <row r="191" spans="1:16" x14ac:dyDescent="0.2">
      <c r="E191" s="18"/>
      <c r="G191" s="2" t="s">
        <v>19</v>
      </c>
      <c r="H191">
        <v>83</v>
      </c>
      <c r="I191">
        <v>9</v>
      </c>
      <c r="J191">
        <v>101</v>
      </c>
      <c r="K191">
        <f t="shared" si="45"/>
        <v>92</v>
      </c>
      <c r="L191" s="4">
        <f t="shared" si="46"/>
        <v>82.178217821782169</v>
      </c>
      <c r="M191" s="4">
        <f t="shared" si="47"/>
        <v>91.089108910891099</v>
      </c>
      <c r="N191">
        <v>0</v>
      </c>
      <c r="O191">
        <v>2</v>
      </c>
    </row>
    <row r="192" spans="1:16" x14ac:dyDescent="0.2">
      <c r="A192" s="2">
        <v>63</v>
      </c>
      <c r="B192" s="2" t="s">
        <v>165</v>
      </c>
      <c r="C192" s="2" t="s">
        <v>49</v>
      </c>
      <c r="D192" t="s">
        <v>296</v>
      </c>
      <c r="E192" s="18">
        <f t="shared" ref="E192:F192" si="66">AVERAGE(L192:L194)</f>
        <v>71.412037037037052</v>
      </c>
      <c r="F192" s="4">
        <f t="shared" si="66"/>
        <v>74.614197530864203</v>
      </c>
      <c r="G192" s="2" t="s">
        <v>17</v>
      </c>
      <c r="H192">
        <v>25</v>
      </c>
      <c r="I192">
        <v>1</v>
      </c>
      <c r="J192">
        <v>32</v>
      </c>
      <c r="K192">
        <f t="shared" si="45"/>
        <v>26</v>
      </c>
      <c r="L192" s="4">
        <f t="shared" si="46"/>
        <v>78.125</v>
      </c>
      <c r="M192" s="4">
        <f t="shared" si="47"/>
        <v>81.25</v>
      </c>
      <c r="P192" t="s">
        <v>166</v>
      </c>
    </row>
    <row r="193" spans="1:16" x14ac:dyDescent="0.2">
      <c r="E193" s="18"/>
      <c r="G193" s="2" t="s">
        <v>18</v>
      </c>
      <c r="H193">
        <v>21</v>
      </c>
      <c r="I193">
        <v>1</v>
      </c>
      <c r="J193">
        <v>36</v>
      </c>
      <c r="K193">
        <f t="shared" si="45"/>
        <v>22</v>
      </c>
      <c r="L193" s="4">
        <f t="shared" si="46"/>
        <v>58.333333333333336</v>
      </c>
      <c r="M193" s="4">
        <f t="shared" si="47"/>
        <v>61.111111111111114</v>
      </c>
      <c r="N193">
        <v>0</v>
      </c>
      <c r="O193">
        <v>1</v>
      </c>
    </row>
    <row r="194" spans="1:16" x14ac:dyDescent="0.2">
      <c r="E194" s="18"/>
      <c r="G194" s="2" t="s">
        <v>19</v>
      </c>
      <c r="H194">
        <v>21</v>
      </c>
      <c r="I194">
        <v>1</v>
      </c>
      <c r="J194">
        <v>27</v>
      </c>
      <c r="K194">
        <f t="shared" si="45"/>
        <v>22</v>
      </c>
      <c r="L194" s="4">
        <f t="shared" si="46"/>
        <v>77.777777777777786</v>
      </c>
      <c r="M194" s="4">
        <f t="shared" si="47"/>
        <v>81.481481481481481</v>
      </c>
    </row>
    <row r="195" spans="1:16" x14ac:dyDescent="0.2">
      <c r="A195" s="2">
        <v>64</v>
      </c>
      <c r="B195" s="2" t="s">
        <v>165</v>
      </c>
      <c r="C195" s="2" t="s">
        <v>27</v>
      </c>
      <c r="D195" t="s">
        <v>296</v>
      </c>
      <c r="E195" s="18">
        <f t="shared" ref="E195:F195" si="67">AVERAGE(L195:L197)</f>
        <v>80.814814814814824</v>
      </c>
      <c r="F195" s="4">
        <f t="shared" si="67"/>
        <v>84.617283950617278</v>
      </c>
      <c r="G195" s="2" t="s">
        <v>17</v>
      </c>
      <c r="H195">
        <v>21</v>
      </c>
      <c r="I195">
        <v>2</v>
      </c>
      <c r="J195">
        <v>27</v>
      </c>
      <c r="K195">
        <f t="shared" si="45"/>
        <v>23</v>
      </c>
      <c r="L195" s="4">
        <f t="shared" si="46"/>
        <v>77.777777777777786</v>
      </c>
      <c r="M195" s="4">
        <f t="shared" si="47"/>
        <v>85.18518518518519</v>
      </c>
      <c r="P195" t="s">
        <v>167</v>
      </c>
    </row>
    <row r="196" spans="1:16" x14ac:dyDescent="0.2">
      <c r="E196" s="18"/>
      <c r="G196" s="2" t="s">
        <v>18</v>
      </c>
      <c r="H196">
        <v>22</v>
      </c>
      <c r="I196">
        <v>1</v>
      </c>
      <c r="J196">
        <v>25</v>
      </c>
      <c r="K196">
        <f t="shared" si="45"/>
        <v>23</v>
      </c>
      <c r="L196" s="4">
        <f t="shared" si="46"/>
        <v>88</v>
      </c>
      <c r="M196" s="4">
        <f t="shared" si="47"/>
        <v>92</v>
      </c>
    </row>
    <row r="197" spans="1:16" x14ac:dyDescent="0.2">
      <c r="E197" s="18"/>
      <c r="G197" s="2" t="s">
        <v>19</v>
      </c>
      <c r="H197">
        <v>23</v>
      </c>
      <c r="I197">
        <v>0</v>
      </c>
      <c r="J197">
        <v>30</v>
      </c>
      <c r="K197">
        <f t="shared" si="45"/>
        <v>23</v>
      </c>
      <c r="L197" s="4">
        <f t="shared" si="46"/>
        <v>76.666666666666671</v>
      </c>
      <c r="M197" s="4">
        <f t="shared" si="47"/>
        <v>76.666666666666671</v>
      </c>
    </row>
    <row r="198" spans="1:16" x14ac:dyDescent="0.2">
      <c r="A198" s="2">
        <v>65</v>
      </c>
      <c r="B198" s="2" t="s">
        <v>168</v>
      </c>
      <c r="C198" s="2" t="s">
        <v>168</v>
      </c>
      <c r="D198" t="s">
        <v>293</v>
      </c>
      <c r="E198" s="4">
        <f t="shared" ref="E198:F198" si="68">AVERAGE(L198:L200)</f>
        <v>30.293505248650927</v>
      </c>
      <c r="F198" s="4">
        <f t="shared" si="68"/>
        <v>41.675384665143589</v>
      </c>
      <c r="G198" s="2" t="s">
        <v>17</v>
      </c>
      <c r="H198">
        <v>47</v>
      </c>
      <c r="I198">
        <v>16</v>
      </c>
      <c r="J198">
        <v>161</v>
      </c>
      <c r="K198">
        <f t="shared" si="45"/>
        <v>63</v>
      </c>
      <c r="L198" s="4">
        <f t="shared" si="46"/>
        <v>29.19254658385093</v>
      </c>
      <c r="M198" s="4">
        <f t="shared" si="47"/>
        <v>39.130434782608695</v>
      </c>
      <c r="P198" t="s">
        <v>169</v>
      </c>
    </row>
    <row r="199" spans="1:16" x14ac:dyDescent="0.2">
      <c r="G199" s="2" t="s">
        <v>18</v>
      </c>
      <c r="H199">
        <v>42</v>
      </c>
      <c r="I199">
        <v>19</v>
      </c>
      <c r="J199">
        <v>155</v>
      </c>
      <c r="K199">
        <f t="shared" ref="K199:K206" si="69">H199+I199</f>
        <v>61</v>
      </c>
      <c r="L199" s="4">
        <f t="shared" ref="L199:L206" si="70">H199/J199*100</f>
        <v>27.096774193548391</v>
      </c>
      <c r="M199" s="4">
        <f t="shared" ref="M199:M206" si="71">K199/J199*100</f>
        <v>39.354838709677423</v>
      </c>
      <c r="N199">
        <v>0</v>
      </c>
      <c r="O199">
        <v>5</v>
      </c>
    </row>
    <row r="200" spans="1:16" x14ac:dyDescent="0.2">
      <c r="G200" s="2" t="s">
        <v>19</v>
      </c>
      <c r="H200">
        <v>55</v>
      </c>
      <c r="I200">
        <v>19</v>
      </c>
      <c r="J200">
        <v>159</v>
      </c>
      <c r="K200">
        <f t="shared" si="69"/>
        <v>74</v>
      </c>
      <c r="L200" s="4">
        <f t="shared" si="70"/>
        <v>34.591194968553459</v>
      </c>
      <c r="M200" s="4">
        <f t="shared" si="71"/>
        <v>46.540880503144656</v>
      </c>
      <c r="N200">
        <v>0</v>
      </c>
      <c r="O200">
        <v>7</v>
      </c>
    </row>
    <row r="201" spans="1:16" x14ac:dyDescent="0.2">
      <c r="A201" s="2">
        <v>66</v>
      </c>
      <c r="B201" s="2" t="s">
        <v>170</v>
      </c>
      <c r="C201" s="2" t="s">
        <v>170</v>
      </c>
      <c r="D201" t="s">
        <v>293</v>
      </c>
      <c r="E201" s="4">
        <f t="shared" ref="E201:F201" si="72">AVERAGE(L201:L203)</f>
        <v>67.705423024571957</v>
      </c>
      <c r="F201" s="4">
        <f t="shared" si="72"/>
        <v>73.936528404613512</v>
      </c>
      <c r="G201" s="2" t="s">
        <v>17</v>
      </c>
      <c r="H201">
        <v>29</v>
      </c>
      <c r="I201">
        <v>1</v>
      </c>
      <c r="J201">
        <v>47</v>
      </c>
      <c r="K201">
        <f t="shared" si="69"/>
        <v>30</v>
      </c>
      <c r="L201" s="4">
        <f t="shared" si="70"/>
        <v>61.702127659574465</v>
      </c>
      <c r="M201" s="4">
        <f t="shared" si="71"/>
        <v>63.829787234042556</v>
      </c>
      <c r="N201">
        <v>0</v>
      </c>
      <c r="O201">
        <v>1</v>
      </c>
    </row>
    <row r="202" spans="1:16" x14ac:dyDescent="0.2">
      <c r="G202" s="2" t="s">
        <v>18</v>
      </c>
      <c r="H202">
        <v>35</v>
      </c>
      <c r="I202">
        <v>2</v>
      </c>
      <c r="J202">
        <v>45</v>
      </c>
      <c r="K202">
        <f t="shared" si="69"/>
        <v>37</v>
      </c>
      <c r="L202" s="4">
        <f t="shared" si="70"/>
        <v>77.777777777777786</v>
      </c>
      <c r="M202" s="4">
        <f t="shared" si="71"/>
        <v>82.222222222222214</v>
      </c>
      <c r="N202">
        <v>0</v>
      </c>
      <c r="O202">
        <v>1</v>
      </c>
    </row>
    <row r="203" spans="1:16" x14ac:dyDescent="0.2">
      <c r="G203" s="2" t="s">
        <v>19</v>
      </c>
      <c r="H203">
        <v>21</v>
      </c>
      <c r="I203">
        <v>4</v>
      </c>
      <c r="J203">
        <v>33</v>
      </c>
      <c r="K203">
        <f t="shared" si="69"/>
        <v>25</v>
      </c>
      <c r="L203" s="4">
        <f t="shared" si="70"/>
        <v>63.636363636363633</v>
      </c>
      <c r="M203" s="4">
        <f t="shared" si="71"/>
        <v>75.757575757575751</v>
      </c>
    </row>
    <row r="204" spans="1:16" x14ac:dyDescent="0.2">
      <c r="A204" s="2">
        <v>67</v>
      </c>
      <c r="B204" s="2" t="s">
        <v>171</v>
      </c>
      <c r="C204" s="2" t="s">
        <v>139</v>
      </c>
      <c r="D204" t="s">
        <v>293</v>
      </c>
      <c r="E204" s="4">
        <f t="shared" ref="E204:F204" si="73">AVERAGE(L204:L206)</f>
        <v>63.297981666461133</v>
      </c>
      <c r="F204" s="4">
        <f t="shared" si="73"/>
        <v>64.389875447034157</v>
      </c>
      <c r="G204" s="2" t="s">
        <v>17</v>
      </c>
      <c r="H204">
        <v>32</v>
      </c>
      <c r="I204">
        <v>0</v>
      </c>
      <c r="J204">
        <v>51</v>
      </c>
      <c r="K204">
        <f t="shared" si="69"/>
        <v>32</v>
      </c>
      <c r="L204" s="4">
        <f t="shared" si="70"/>
        <v>62.745098039215684</v>
      </c>
      <c r="M204" s="4">
        <f t="shared" si="71"/>
        <v>62.745098039215684</v>
      </c>
      <c r="P204" t="s">
        <v>172</v>
      </c>
    </row>
    <row r="205" spans="1:16" x14ac:dyDescent="0.2">
      <c r="G205" s="2" t="s">
        <v>18</v>
      </c>
      <c r="H205">
        <v>44</v>
      </c>
      <c r="I205">
        <v>1</v>
      </c>
      <c r="J205">
        <v>72</v>
      </c>
      <c r="K205">
        <f t="shared" si="69"/>
        <v>45</v>
      </c>
      <c r="L205" s="4">
        <f t="shared" si="70"/>
        <v>61.111111111111114</v>
      </c>
      <c r="M205" s="4">
        <f t="shared" si="71"/>
        <v>62.5</v>
      </c>
      <c r="N205">
        <v>0</v>
      </c>
      <c r="O205">
        <v>2</v>
      </c>
    </row>
    <row r="206" spans="1:16" x14ac:dyDescent="0.2">
      <c r="H206">
        <v>35</v>
      </c>
      <c r="I206">
        <v>1</v>
      </c>
      <c r="J206">
        <v>53</v>
      </c>
      <c r="K206">
        <f t="shared" si="69"/>
        <v>36</v>
      </c>
      <c r="L206" s="4">
        <f t="shared" si="70"/>
        <v>66.037735849056602</v>
      </c>
      <c r="M206" s="4">
        <f t="shared" si="71"/>
        <v>67.924528301886795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EAEC7-FBC5-224B-94A5-C41FCC398411}">
  <dimension ref="A1:O157"/>
  <sheetViews>
    <sheetView zoomScale="140" zoomScaleNormal="140" workbookViewId="0">
      <pane ySplit="2" topLeftCell="A17" activePane="bottomLeft" state="frozen"/>
      <selection pane="bottomLeft" activeCell="D1" sqref="D1:E1"/>
    </sheetView>
  </sheetViews>
  <sheetFormatPr baseColWidth="10" defaultColWidth="11" defaultRowHeight="16" x14ac:dyDescent="0.2"/>
  <cols>
    <col min="1" max="1" width="6.83203125" customWidth="1"/>
    <col min="2" max="2" width="13.33203125" customWidth="1"/>
    <col min="3" max="3" width="12.5" customWidth="1"/>
    <col min="4" max="4" width="14" customWidth="1"/>
    <col min="5" max="5" width="14.1640625" bestFit="1" customWidth="1"/>
    <col min="6" max="6" width="4.5" customWidth="1"/>
    <col min="8" max="8" width="10.83203125" customWidth="1"/>
    <col min="10" max="10" width="10.83203125" style="3"/>
    <col min="11" max="11" width="13" style="4" bestFit="1" customWidth="1"/>
    <col min="12" max="12" width="10.83203125" style="4"/>
    <col min="13" max="13" width="14.5" bestFit="1" customWidth="1"/>
    <col min="14" max="14" width="18" bestFit="1" customWidth="1"/>
    <col min="15" max="15" width="237.1640625" bestFit="1" customWidth="1"/>
  </cols>
  <sheetData>
    <row r="1" spans="1:15" x14ac:dyDescent="0.2">
      <c r="A1" s="2"/>
      <c r="B1" s="2"/>
      <c r="C1" s="2"/>
      <c r="D1" s="2">
        <v>7</v>
      </c>
      <c r="E1" s="2">
        <v>8</v>
      </c>
      <c r="F1" s="2"/>
      <c r="M1" t="s">
        <v>0</v>
      </c>
      <c r="N1" t="s">
        <v>1</v>
      </c>
    </row>
    <row r="2" spans="1:15" x14ac:dyDescent="0.2">
      <c r="A2" s="2" t="s">
        <v>173</v>
      </c>
      <c r="B2" t="s">
        <v>2</v>
      </c>
      <c r="C2" s="2" t="s">
        <v>3</v>
      </c>
      <c r="D2" s="1" t="s">
        <v>4</v>
      </c>
      <c r="E2" s="1" t="s">
        <v>5</v>
      </c>
      <c r="F2" s="2"/>
      <c r="G2" t="s">
        <v>6</v>
      </c>
      <c r="H2" t="s">
        <v>7</v>
      </c>
      <c r="I2" t="s">
        <v>8</v>
      </c>
      <c r="J2" s="3" t="s">
        <v>9</v>
      </c>
      <c r="K2" s="4" t="s">
        <v>10</v>
      </c>
      <c r="L2" s="4" t="s">
        <v>11</v>
      </c>
      <c r="M2" t="s">
        <v>12</v>
      </c>
      <c r="N2" t="s">
        <v>13</v>
      </c>
      <c r="O2" s="1" t="s">
        <v>14</v>
      </c>
    </row>
    <row r="3" spans="1:15" x14ac:dyDescent="0.2">
      <c r="A3" s="2">
        <v>1</v>
      </c>
      <c r="B3" s="2" t="s">
        <v>174</v>
      </c>
      <c r="C3" s="2" t="s">
        <v>175</v>
      </c>
      <c r="D3" s="4">
        <f>AVERAGE(K3:K5)</f>
        <v>18.624338624338623</v>
      </c>
      <c r="E3" s="4">
        <f>AVERAGE(L3:L5)</f>
        <v>51.774891774891763</v>
      </c>
      <c r="F3" s="2" t="s">
        <v>17</v>
      </c>
      <c r="G3">
        <v>14</v>
      </c>
      <c r="H3">
        <v>21</v>
      </c>
      <c r="I3">
        <v>77</v>
      </c>
      <c r="J3" s="3">
        <f>SUM(G3:H3)</f>
        <v>35</v>
      </c>
      <c r="K3" s="4">
        <f>G3/I3*100</f>
        <v>18.181818181818183</v>
      </c>
      <c r="L3" s="4">
        <f>J3/I3*100</f>
        <v>45.454545454545453</v>
      </c>
      <c r="M3">
        <v>1</v>
      </c>
      <c r="N3">
        <v>1</v>
      </c>
      <c r="O3" t="s">
        <v>176</v>
      </c>
    </row>
    <row r="4" spans="1:15" x14ac:dyDescent="0.2">
      <c r="A4" s="2"/>
      <c r="B4" s="2"/>
      <c r="C4" s="2"/>
      <c r="F4" s="2" t="s">
        <v>18</v>
      </c>
      <c r="G4">
        <v>10</v>
      </c>
      <c r="H4">
        <v>26</v>
      </c>
      <c r="I4">
        <v>63</v>
      </c>
      <c r="J4" s="3">
        <f t="shared" ref="J4:J72" si="0">SUM(G4:H4)</f>
        <v>36</v>
      </c>
      <c r="K4" s="4">
        <f t="shared" ref="K4:K72" si="1">G4/I4*100</f>
        <v>15.873015873015872</v>
      </c>
      <c r="L4" s="4">
        <f t="shared" ref="L4:L72" si="2">J4/I4*100</f>
        <v>57.142857142857139</v>
      </c>
      <c r="O4" t="s">
        <v>177</v>
      </c>
    </row>
    <row r="5" spans="1:15" x14ac:dyDescent="0.2">
      <c r="A5" s="2"/>
      <c r="B5" s="2"/>
      <c r="C5" s="2"/>
      <c r="F5" s="2" t="s">
        <v>19</v>
      </c>
      <c r="G5">
        <v>12</v>
      </c>
      <c r="H5">
        <v>17</v>
      </c>
      <c r="I5">
        <v>55</v>
      </c>
      <c r="J5" s="3">
        <f t="shared" si="0"/>
        <v>29</v>
      </c>
      <c r="K5" s="4">
        <f t="shared" si="1"/>
        <v>21.818181818181817</v>
      </c>
      <c r="L5" s="4">
        <f t="shared" si="2"/>
        <v>52.72727272727272</v>
      </c>
      <c r="M5">
        <v>3</v>
      </c>
      <c r="N5">
        <v>1</v>
      </c>
      <c r="O5" t="s">
        <v>178</v>
      </c>
    </row>
    <row r="6" spans="1:15" x14ac:dyDescent="0.2">
      <c r="A6" s="2">
        <v>2</v>
      </c>
      <c r="B6" s="2" t="s">
        <v>174</v>
      </c>
      <c r="C6" s="2" t="s">
        <v>179</v>
      </c>
      <c r="D6" s="4">
        <f>AVERAGE(K6:K8)</f>
        <v>20.752834467120181</v>
      </c>
      <c r="E6" s="4">
        <f>AVERAGE(L6:L8)</f>
        <v>54.702947845804992</v>
      </c>
      <c r="F6" s="2" t="s">
        <v>17</v>
      </c>
      <c r="G6">
        <v>15</v>
      </c>
      <c r="H6">
        <v>18</v>
      </c>
      <c r="I6">
        <v>63</v>
      </c>
      <c r="J6" s="3">
        <f t="shared" si="0"/>
        <v>33</v>
      </c>
      <c r="K6" s="4">
        <f t="shared" si="1"/>
        <v>23.809523809523807</v>
      </c>
      <c r="L6" s="4">
        <f t="shared" si="2"/>
        <v>52.380952380952387</v>
      </c>
      <c r="M6">
        <v>0</v>
      </c>
      <c r="N6">
        <v>3</v>
      </c>
    </row>
    <row r="7" spans="1:15" x14ac:dyDescent="0.2">
      <c r="A7" s="2"/>
      <c r="B7" s="2"/>
      <c r="C7" s="2"/>
      <c r="F7" s="2" t="s">
        <v>18</v>
      </c>
      <c r="G7">
        <v>11</v>
      </c>
      <c r="H7">
        <v>15</v>
      </c>
      <c r="I7">
        <v>49</v>
      </c>
      <c r="J7" s="3">
        <f t="shared" si="0"/>
        <v>26</v>
      </c>
      <c r="K7" s="4">
        <f t="shared" si="1"/>
        <v>22.448979591836736</v>
      </c>
      <c r="L7" s="4">
        <f t="shared" si="2"/>
        <v>53.061224489795919</v>
      </c>
    </row>
    <row r="8" spans="1:15" x14ac:dyDescent="0.2">
      <c r="A8" s="2"/>
      <c r="B8" s="2"/>
      <c r="C8" s="2"/>
      <c r="F8" s="2" t="s">
        <v>19</v>
      </c>
      <c r="G8">
        <v>12</v>
      </c>
      <c r="H8">
        <v>32</v>
      </c>
      <c r="I8">
        <v>75</v>
      </c>
      <c r="J8" s="3">
        <f t="shared" si="0"/>
        <v>44</v>
      </c>
      <c r="K8" s="4">
        <f t="shared" si="1"/>
        <v>16</v>
      </c>
      <c r="L8" s="4">
        <f t="shared" si="2"/>
        <v>58.666666666666664</v>
      </c>
      <c r="M8">
        <v>0</v>
      </c>
      <c r="N8">
        <v>4</v>
      </c>
    </row>
    <row r="9" spans="1:15" x14ac:dyDescent="0.2">
      <c r="A9" s="2">
        <v>3</v>
      </c>
      <c r="B9" s="2" t="s">
        <v>174</v>
      </c>
      <c r="C9" s="2" t="s">
        <v>180</v>
      </c>
      <c r="D9" s="4">
        <f>AVERAGE(K9:K11)</f>
        <v>1.8783068783068784</v>
      </c>
      <c r="E9" s="4">
        <f>AVERAGE(L9:L11)</f>
        <v>49.441983511750948</v>
      </c>
      <c r="F9" s="2" t="s">
        <v>17</v>
      </c>
      <c r="G9">
        <v>0</v>
      </c>
      <c r="H9">
        <v>49</v>
      </c>
      <c r="I9">
        <v>86</v>
      </c>
      <c r="J9" s="3">
        <f t="shared" si="0"/>
        <v>49</v>
      </c>
      <c r="K9" s="4">
        <f t="shared" si="1"/>
        <v>0</v>
      </c>
      <c r="L9" s="4">
        <f t="shared" si="2"/>
        <v>56.97674418604651</v>
      </c>
      <c r="M9">
        <v>0</v>
      </c>
      <c r="N9">
        <v>1</v>
      </c>
    </row>
    <row r="10" spans="1:15" x14ac:dyDescent="0.2">
      <c r="A10" s="2"/>
      <c r="B10" s="2"/>
      <c r="C10" s="2"/>
      <c r="F10" s="2" t="s">
        <v>18</v>
      </c>
      <c r="G10">
        <v>4</v>
      </c>
      <c r="H10">
        <v>30</v>
      </c>
      <c r="I10">
        <v>90</v>
      </c>
      <c r="J10" s="3">
        <f t="shared" si="0"/>
        <v>34</v>
      </c>
      <c r="K10" s="4">
        <f t="shared" si="1"/>
        <v>4.4444444444444446</v>
      </c>
      <c r="L10" s="4">
        <f t="shared" si="2"/>
        <v>37.777777777777779</v>
      </c>
      <c r="M10">
        <v>0</v>
      </c>
      <c r="N10">
        <v>2</v>
      </c>
    </row>
    <row r="11" spans="1:15" x14ac:dyDescent="0.2">
      <c r="A11" s="2"/>
      <c r="B11" s="2"/>
      <c r="C11" s="2"/>
      <c r="F11" s="2" t="s">
        <v>19</v>
      </c>
      <c r="G11">
        <v>1</v>
      </c>
      <c r="H11">
        <v>44</v>
      </c>
      <c r="I11">
        <v>84</v>
      </c>
      <c r="J11" s="3">
        <f t="shared" si="0"/>
        <v>45</v>
      </c>
      <c r="K11" s="4">
        <f t="shared" si="1"/>
        <v>1.1904761904761905</v>
      </c>
      <c r="L11" s="4">
        <f t="shared" si="2"/>
        <v>53.571428571428569</v>
      </c>
      <c r="M11">
        <v>0</v>
      </c>
      <c r="N11">
        <v>1</v>
      </c>
    </row>
    <row r="12" spans="1:15" x14ac:dyDescent="0.2">
      <c r="A12" s="2">
        <v>4</v>
      </c>
      <c r="B12" s="2" t="s">
        <v>174</v>
      </c>
      <c r="C12" s="2" t="s">
        <v>181</v>
      </c>
      <c r="D12" s="4">
        <f>AVERAGE(K12:K14)</f>
        <v>3.2372505543237247</v>
      </c>
      <c r="E12" s="4">
        <f>AVERAGE(L12:L14)</f>
        <v>42.92960088691796</v>
      </c>
      <c r="F12" s="2" t="s">
        <v>17</v>
      </c>
      <c r="G12">
        <v>2</v>
      </c>
      <c r="H12">
        <v>34</v>
      </c>
      <c r="I12">
        <v>82</v>
      </c>
      <c r="J12" s="3">
        <f t="shared" si="0"/>
        <v>36</v>
      </c>
      <c r="K12" s="4">
        <f t="shared" si="1"/>
        <v>2.4390243902439024</v>
      </c>
      <c r="L12" s="4">
        <f t="shared" si="2"/>
        <v>43.902439024390247</v>
      </c>
      <c r="M12">
        <v>0</v>
      </c>
      <c r="N12">
        <v>1</v>
      </c>
    </row>
    <row r="13" spans="1:15" x14ac:dyDescent="0.2">
      <c r="A13" s="2"/>
      <c r="B13" s="2"/>
      <c r="C13" s="2"/>
      <c r="F13" s="2" t="s">
        <v>18</v>
      </c>
      <c r="G13">
        <v>2</v>
      </c>
      <c r="H13">
        <v>32</v>
      </c>
      <c r="I13">
        <v>88</v>
      </c>
      <c r="J13" s="3">
        <f t="shared" si="0"/>
        <v>34</v>
      </c>
      <c r="K13" s="4">
        <f t="shared" si="1"/>
        <v>2.2727272727272729</v>
      </c>
      <c r="L13" s="4">
        <f t="shared" si="2"/>
        <v>38.636363636363633</v>
      </c>
      <c r="M13">
        <v>0</v>
      </c>
      <c r="N13">
        <v>1</v>
      </c>
    </row>
    <row r="14" spans="1:15" x14ac:dyDescent="0.2">
      <c r="A14" s="2"/>
      <c r="B14" s="2"/>
      <c r="C14" s="2"/>
      <c r="F14" s="2" t="s">
        <v>19</v>
      </c>
      <c r="G14">
        <v>4</v>
      </c>
      <c r="H14">
        <v>33</v>
      </c>
      <c r="I14">
        <v>80</v>
      </c>
      <c r="J14" s="3">
        <f t="shared" si="0"/>
        <v>37</v>
      </c>
      <c r="K14" s="4">
        <f t="shared" si="1"/>
        <v>5</v>
      </c>
      <c r="L14" s="4">
        <f t="shared" si="2"/>
        <v>46.25</v>
      </c>
    </row>
    <row r="15" spans="1:15" x14ac:dyDescent="0.2">
      <c r="A15" s="2">
        <v>5</v>
      </c>
      <c r="B15" s="2" t="s">
        <v>182</v>
      </c>
      <c r="C15" s="2" t="s">
        <v>183</v>
      </c>
      <c r="D15" s="4">
        <f>AVERAGE(K15:K17)</f>
        <v>84.39589169000935</v>
      </c>
      <c r="E15" s="4">
        <f>AVERAGE(L15:L17)</f>
        <v>91.943977591036415</v>
      </c>
      <c r="F15" s="2" t="s">
        <v>17</v>
      </c>
      <c r="G15">
        <v>17</v>
      </c>
      <c r="H15">
        <v>1</v>
      </c>
      <c r="I15">
        <v>21</v>
      </c>
      <c r="J15" s="3">
        <f t="shared" si="0"/>
        <v>18</v>
      </c>
      <c r="K15" s="4">
        <f t="shared" si="1"/>
        <v>80.952380952380949</v>
      </c>
      <c r="L15" s="4">
        <f t="shared" si="2"/>
        <v>85.714285714285708</v>
      </c>
      <c r="O15" t="s">
        <v>184</v>
      </c>
    </row>
    <row r="16" spans="1:15" x14ac:dyDescent="0.2">
      <c r="A16" s="2"/>
      <c r="B16" s="2"/>
      <c r="C16" s="2"/>
      <c r="F16" s="2" t="s">
        <v>18</v>
      </c>
      <c r="G16">
        <v>21</v>
      </c>
      <c r="H16">
        <v>3</v>
      </c>
      <c r="I16">
        <v>25</v>
      </c>
      <c r="J16" s="3">
        <f t="shared" si="0"/>
        <v>24</v>
      </c>
      <c r="K16" s="4">
        <f t="shared" si="1"/>
        <v>84</v>
      </c>
      <c r="L16" s="4">
        <f t="shared" si="2"/>
        <v>96</v>
      </c>
      <c r="O16" t="s">
        <v>185</v>
      </c>
    </row>
    <row r="17" spans="1:15" x14ac:dyDescent="0.2">
      <c r="A17" s="2"/>
      <c r="B17" s="2"/>
      <c r="C17" s="2"/>
      <c r="F17" s="2" t="s">
        <v>19</v>
      </c>
      <c r="G17">
        <v>15</v>
      </c>
      <c r="H17">
        <v>1</v>
      </c>
      <c r="I17">
        <v>17</v>
      </c>
      <c r="J17" s="3">
        <f t="shared" si="0"/>
        <v>16</v>
      </c>
      <c r="K17" s="4">
        <f t="shared" si="1"/>
        <v>88.235294117647058</v>
      </c>
      <c r="L17" s="4">
        <f t="shared" si="2"/>
        <v>94.117647058823522</v>
      </c>
      <c r="O17" t="s">
        <v>185</v>
      </c>
    </row>
    <row r="18" spans="1:15" x14ac:dyDescent="0.2">
      <c r="A18" s="2">
        <v>6</v>
      </c>
      <c r="B18" s="2" t="s">
        <v>182</v>
      </c>
      <c r="C18" s="2" t="s">
        <v>186</v>
      </c>
      <c r="D18" s="4">
        <f>AVERAGE(K18:K22)</f>
        <v>75.460304401480869</v>
      </c>
      <c r="E18" s="4">
        <f>AVERAGE(L18:L22)</f>
        <v>84.853558206499386</v>
      </c>
      <c r="F18" s="2" t="s">
        <v>17</v>
      </c>
      <c r="G18">
        <v>19</v>
      </c>
      <c r="H18">
        <v>3</v>
      </c>
      <c r="I18">
        <v>26</v>
      </c>
      <c r="J18" s="3">
        <f t="shared" si="0"/>
        <v>22</v>
      </c>
      <c r="K18" s="4">
        <f t="shared" si="1"/>
        <v>73.076923076923066</v>
      </c>
      <c r="L18" s="4">
        <f t="shared" si="2"/>
        <v>84.615384615384613</v>
      </c>
      <c r="O18" t="s">
        <v>148</v>
      </c>
    </row>
    <row r="19" spans="1:15" x14ac:dyDescent="0.2">
      <c r="A19" s="2"/>
      <c r="B19" s="2"/>
      <c r="C19" s="2"/>
      <c r="F19" s="2" t="s">
        <v>18</v>
      </c>
      <c r="G19">
        <v>12</v>
      </c>
      <c r="H19">
        <v>1</v>
      </c>
      <c r="I19">
        <v>17</v>
      </c>
      <c r="J19" s="3">
        <f t="shared" si="0"/>
        <v>13</v>
      </c>
      <c r="K19" s="4">
        <f t="shared" si="1"/>
        <v>70.588235294117652</v>
      </c>
      <c r="L19" s="4">
        <f t="shared" si="2"/>
        <v>76.470588235294116</v>
      </c>
      <c r="O19" t="s">
        <v>187</v>
      </c>
    </row>
    <row r="20" spans="1:15" x14ac:dyDescent="0.2">
      <c r="A20" s="2"/>
      <c r="B20" s="2"/>
      <c r="C20" s="2"/>
      <c r="F20" s="2" t="s">
        <v>19</v>
      </c>
      <c r="G20">
        <v>18</v>
      </c>
      <c r="H20">
        <v>2</v>
      </c>
      <c r="I20">
        <v>20</v>
      </c>
      <c r="J20" s="3">
        <f t="shared" si="0"/>
        <v>20</v>
      </c>
      <c r="K20" s="4">
        <f t="shared" si="1"/>
        <v>90</v>
      </c>
      <c r="L20" s="4">
        <f t="shared" si="2"/>
        <v>100</v>
      </c>
    </row>
    <row r="21" spans="1:15" x14ac:dyDescent="0.2">
      <c r="A21" s="2"/>
      <c r="B21" s="2"/>
      <c r="C21" s="2"/>
      <c r="F21" s="2" t="s">
        <v>38</v>
      </c>
      <c r="G21">
        <v>14</v>
      </c>
      <c r="H21">
        <v>1</v>
      </c>
      <c r="I21">
        <v>22</v>
      </c>
      <c r="J21" s="3">
        <f t="shared" ref="J21:J28" si="3">SUM(G21:H21)</f>
        <v>15</v>
      </c>
      <c r="K21" s="4">
        <f t="shared" ref="K21:K28" si="4">G21/I21*100</f>
        <v>63.636363636363633</v>
      </c>
      <c r="L21" s="4">
        <f t="shared" ref="L21:L28" si="5">J21/I21*100</f>
        <v>68.181818181818173</v>
      </c>
    </row>
    <row r="22" spans="1:15" x14ac:dyDescent="0.2">
      <c r="A22" s="2"/>
      <c r="B22" s="2"/>
      <c r="C22" s="2"/>
      <c r="F22" s="2" t="s">
        <v>40</v>
      </c>
      <c r="G22">
        <v>16</v>
      </c>
      <c r="H22">
        <v>3</v>
      </c>
      <c r="I22">
        <v>20</v>
      </c>
      <c r="J22" s="3">
        <f t="shared" si="3"/>
        <v>19</v>
      </c>
      <c r="K22" s="4">
        <f t="shared" si="4"/>
        <v>80</v>
      </c>
      <c r="L22" s="4">
        <f t="shared" si="5"/>
        <v>95</v>
      </c>
    </row>
    <row r="23" spans="1:15" x14ac:dyDescent="0.2">
      <c r="A23" s="2">
        <v>7</v>
      </c>
      <c r="B23" s="2" t="s">
        <v>182</v>
      </c>
      <c r="C23" s="2" t="s">
        <v>188</v>
      </c>
      <c r="D23" s="4">
        <f>AVERAGE(K23:K25)</f>
        <v>84.729296359177511</v>
      </c>
      <c r="E23" s="4">
        <f>AVERAGE(L23:L25)</f>
        <v>91.463874740614983</v>
      </c>
      <c r="F23" s="2" t="s">
        <v>17</v>
      </c>
      <c r="G23">
        <v>51</v>
      </c>
      <c r="H23">
        <v>6</v>
      </c>
      <c r="I23">
        <v>62</v>
      </c>
      <c r="J23" s="3">
        <f t="shared" si="3"/>
        <v>57</v>
      </c>
      <c r="K23" s="4">
        <f t="shared" si="4"/>
        <v>82.258064516129039</v>
      </c>
      <c r="L23" s="4">
        <f t="shared" si="5"/>
        <v>91.935483870967744</v>
      </c>
      <c r="M23">
        <v>0</v>
      </c>
      <c r="N23">
        <v>1</v>
      </c>
      <c r="O23" t="s">
        <v>189</v>
      </c>
    </row>
    <row r="24" spans="1:15" x14ac:dyDescent="0.2">
      <c r="A24" s="2"/>
      <c r="B24" s="2"/>
      <c r="C24" s="2"/>
      <c r="F24" s="2" t="s">
        <v>18</v>
      </c>
      <c r="G24">
        <v>50</v>
      </c>
      <c r="H24">
        <v>3</v>
      </c>
      <c r="I24">
        <v>57</v>
      </c>
      <c r="J24" s="3">
        <f t="shared" si="3"/>
        <v>53</v>
      </c>
      <c r="K24" s="4">
        <f t="shared" si="4"/>
        <v>87.719298245614027</v>
      </c>
      <c r="L24" s="4">
        <f t="shared" si="5"/>
        <v>92.982456140350877</v>
      </c>
    </row>
    <row r="25" spans="1:15" x14ac:dyDescent="0.2">
      <c r="A25" s="2"/>
      <c r="B25" s="2"/>
      <c r="C25" s="2"/>
      <c r="F25" s="2" t="s">
        <v>19</v>
      </c>
      <c r="G25">
        <v>48</v>
      </c>
      <c r="H25">
        <v>3</v>
      </c>
      <c r="I25">
        <v>57</v>
      </c>
      <c r="J25" s="3">
        <f t="shared" si="3"/>
        <v>51</v>
      </c>
      <c r="K25" s="4">
        <f t="shared" si="4"/>
        <v>84.210526315789465</v>
      </c>
      <c r="L25" s="4">
        <f t="shared" si="5"/>
        <v>89.473684210526315</v>
      </c>
    </row>
    <row r="26" spans="1:15" x14ac:dyDescent="0.2">
      <c r="A26" s="2">
        <v>8</v>
      </c>
      <c r="B26" s="2" t="s">
        <v>190</v>
      </c>
      <c r="C26" s="2" t="s">
        <v>191</v>
      </c>
      <c r="D26" s="4">
        <f>AVERAGE(K26:K28)</f>
        <v>68.372252747252745</v>
      </c>
      <c r="E26" s="4">
        <f>AVERAGE(L26:L28)</f>
        <v>71.88644688644689</v>
      </c>
      <c r="F26" s="2" t="s">
        <v>17</v>
      </c>
      <c r="G26">
        <v>23</v>
      </c>
      <c r="H26">
        <v>1</v>
      </c>
      <c r="I26">
        <v>32</v>
      </c>
      <c r="J26" s="3">
        <f t="shared" si="3"/>
        <v>24</v>
      </c>
      <c r="K26" s="4">
        <f t="shared" si="4"/>
        <v>71.875</v>
      </c>
      <c r="L26" s="4">
        <f t="shared" si="5"/>
        <v>75</v>
      </c>
      <c r="O26" t="s">
        <v>192</v>
      </c>
    </row>
    <row r="27" spans="1:15" x14ac:dyDescent="0.2">
      <c r="A27" s="2"/>
      <c r="B27" s="2"/>
      <c r="F27" s="2" t="s">
        <v>18</v>
      </c>
      <c r="G27">
        <v>19</v>
      </c>
      <c r="H27">
        <v>1</v>
      </c>
      <c r="I27">
        <v>28</v>
      </c>
      <c r="J27" s="3">
        <f t="shared" si="3"/>
        <v>20</v>
      </c>
      <c r="K27" s="4">
        <f t="shared" si="4"/>
        <v>67.857142857142861</v>
      </c>
      <c r="L27" s="4">
        <f t="shared" si="5"/>
        <v>71.428571428571431</v>
      </c>
      <c r="O27" t="s">
        <v>193</v>
      </c>
    </row>
    <row r="28" spans="1:15" x14ac:dyDescent="0.2">
      <c r="A28" s="2"/>
      <c r="B28" s="2"/>
      <c r="F28" s="2" t="s">
        <v>19</v>
      </c>
      <c r="G28">
        <v>17</v>
      </c>
      <c r="H28">
        <v>1</v>
      </c>
      <c r="I28">
        <v>26</v>
      </c>
      <c r="J28" s="3">
        <f t="shared" si="3"/>
        <v>18</v>
      </c>
      <c r="K28" s="4">
        <f t="shared" si="4"/>
        <v>65.384615384615387</v>
      </c>
      <c r="L28" s="4">
        <f t="shared" si="5"/>
        <v>69.230769230769226</v>
      </c>
    </row>
    <row r="29" spans="1:15" x14ac:dyDescent="0.2">
      <c r="A29" s="2">
        <v>9</v>
      </c>
      <c r="B29" s="2" t="s">
        <v>190</v>
      </c>
      <c r="C29" s="2" t="s">
        <v>194</v>
      </c>
      <c r="D29" s="4">
        <f>AVERAGE(K29:K31)</f>
        <v>52.391304347826086</v>
      </c>
      <c r="E29" s="4">
        <f>AVERAGE(L29:L31)</f>
        <v>59.257246376811594</v>
      </c>
      <c r="F29" s="2" t="s">
        <v>17</v>
      </c>
      <c r="G29">
        <v>11</v>
      </c>
      <c r="H29">
        <v>2</v>
      </c>
      <c r="I29">
        <v>20</v>
      </c>
      <c r="J29" s="3">
        <f t="shared" ref="J29:J30" si="6">SUM(G29:H29)</f>
        <v>13</v>
      </c>
      <c r="K29" s="4">
        <f t="shared" ref="K29:K30" si="7">G29/I29*100</f>
        <v>55.000000000000007</v>
      </c>
      <c r="L29" s="4">
        <f t="shared" ref="L29:L30" si="8">J29/I29*100</f>
        <v>65</v>
      </c>
      <c r="O29" t="s">
        <v>195</v>
      </c>
    </row>
    <row r="30" spans="1:15" x14ac:dyDescent="0.2">
      <c r="A30" s="2"/>
      <c r="B30" s="2"/>
      <c r="F30" s="2" t="s">
        <v>18</v>
      </c>
      <c r="G30">
        <v>12</v>
      </c>
      <c r="H30">
        <v>1</v>
      </c>
      <c r="I30">
        <v>23</v>
      </c>
      <c r="J30" s="3">
        <f t="shared" si="6"/>
        <v>13</v>
      </c>
      <c r="K30" s="4">
        <f t="shared" si="7"/>
        <v>52.173913043478258</v>
      </c>
      <c r="L30" s="4">
        <f t="shared" si="8"/>
        <v>56.521739130434781</v>
      </c>
    </row>
    <row r="31" spans="1:15" x14ac:dyDescent="0.2">
      <c r="A31" s="2"/>
      <c r="B31" s="2"/>
      <c r="F31" s="2" t="s">
        <v>19</v>
      </c>
      <c r="G31">
        <v>16</v>
      </c>
      <c r="H31">
        <v>2</v>
      </c>
      <c r="I31">
        <v>32</v>
      </c>
      <c r="J31" s="3">
        <f t="shared" si="0"/>
        <v>18</v>
      </c>
      <c r="K31" s="4">
        <f t="shared" si="1"/>
        <v>50</v>
      </c>
      <c r="L31" s="4">
        <f t="shared" si="2"/>
        <v>56.25</v>
      </c>
    </row>
    <row r="32" spans="1:15" x14ac:dyDescent="0.2">
      <c r="A32" s="2">
        <v>10</v>
      </c>
      <c r="B32" s="2" t="s">
        <v>190</v>
      </c>
      <c r="C32" s="2" t="s">
        <v>196</v>
      </c>
      <c r="D32" s="4">
        <f>AVERAGE(K32:K34)</f>
        <v>49.93600399937359</v>
      </c>
      <c r="E32" s="4">
        <f>AVERAGE(L32:L34)</f>
        <v>55.541601917771914</v>
      </c>
      <c r="F32" s="2" t="s">
        <v>17</v>
      </c>
      <c r="G32">
        <v>27</v>
      </c>
      <c r="H32">
        <v>3</v>
      </c>
      <c r="I32">
        <v>56</v>
      </c>
      <c r="J32" s="3">
        <f t="shared" si="0"/>
        <v>30</v>
      </c>
      <c r="K32" s="4">
        <f t="shared" si="1"/>
        <v>48.214285714285715</v>
      </c>
      <c r="L32" s="4">
        <f t="shared" si="2"/>
        <v>53.571428571428569</v>
      </c>
      <c r="O32" t="s">
        <v>197</v>
      </c>
    </row>
    <row r="33" spans="1:15" x14ac:dyDescent="0.2">
      <c r="A33" s="2"/>
      <c r="B33" s="2"/>
      <c r="F33" s="2" t="s">
        <v>18</v>
      </c>
      <c r="G33">
        <v>30</v>
      </c>
      <c r="H33">
        <v>5</v>
      </c>
      <c r="I33">
        <v>59</v>
      </c>
      <c r="J33" s="3">
        <f t="shared" si="0"/>
        <v>35</v>
      </c>
      <c r="K33" s="4">
        <f t="shared" si="1"/>
        <v>50.847457627118644</v>
      </c>
      <c r="L33" s="4">
        <f t="shared" si="2"/>
        <v>59.322033898305079</v>
      </c>
    </row>
    <row r="34" spans="1:15" x14ac:dyDescent="0.2">
      <c r="A34" s="2"/>
      <c r="B34" s="2"/>
      <c r="F34" s="2" t="s">
        <v>19</v>
      </c>
      <c r="G34">
        <v>34</v>
      </c>
      <c r="H34">
        <v>2</v>
      </c>
      <c r="I34">
        <v>67</v>
      </c>
      <c r="J34" s="3">
        <f t="shared" si="0"/>
        <v>36</v>
      </c>
      <c r="K34" s="4">
        <f t="shared" si="1"/>
        <v>50.746268656716417</v>
      </c>
      <c r="L34" s="4">
        <f t="shared" si="2"/>
        <v>53.731343283582092</v>
      </c>
    </row>
    <row r="35" spans="1:15" x14ac:dyDescent="0.2">
      <c r="A35" s="2">
        <v>11</v>
      </c>
      <c r="B35" s="2" t="s">
        <v>198</v>
      </c>
      <c r="C35" s="2" t="s">
        <v>199</v>
      </c>
      <c r="D35" s="4">
        <f>AVERAGE(K35:K37)</f>
        <v>0.64102564102564108</v>
      </c>
      <c r="E35" s="4">
        <f>AVERAGE(L35:L37)</f>
        <v>8.2362082362082365</v>
      </c>
      <c r="F35" s="2" t="s">
        <v>17</v>
      </c>
      <c r="G35">
        <v>0</v>
      </c>
      <c r="H35">
        <v>1</v>
      </c>
      <c r="I35">
        <v>44</v>
      </c>
      <c r="J35" s="3">
        <f t="shared" si="0"/>
        <v>1</v>
      </c>
      <c r="K35" s="4">
        <f t="shared" si="1"/>
        <v>0</v>
      </c>
      <c r="L35" s="4">
        <f t="shared" si="2"/>
        <v>2.2727272727272729</v>
      </c>
      <c r="M35">
        <v>13</v>
      </c>
      <c r="N35">
        <v>0</v>
      </c>
      <c r="O35" t="s">
        <v>200</v>
      </c>
    </row>
    <row r="36" spans="1:15" x14ac:dyDescent="0.2">
      <c r="A36" s="2"/>
      <c r="B36" s="2"/>
      <c r="F36" s="2" t="s">
        <v>18</v>
      </c>
      <c r="G36">
        <v>0</v>
      </c>
      <c r="H36">
        <v>5</v>
      </c>
      <c r="I36">
        <v>30</v>
      </c>
      <c r="J36" s="3">
        <f t="shared" si="0"/>
        <v>5</v>
      </c>
      <c r="K36" s="4">
        <f t="shared" si="1"/>
        <v>0</v>
      </c>
      <c r="L36" s="4">
        <f t="shared" si="2"/>
        <v>16.666666666666664</v>
      </c>
      <c r="M36">
        <v>5</v>
      </c>
      <c r="N36">
        <v>0</v>
      </c>
      <c r="O36" t="s">
        <v>201</v>
      </c>
    </row>
    <row r="37" spans="1:15" x14ac:dyDescent="0.2">
      <c r="A37" s="2"/>
      <c r="B37" s="2"/>
      <c r="F37" s="2" t="s">
        <v>19</v>
      </c>
      <c r="G37">
        <v>1</v>
      </c>
      <c r="H37">
        <v>2</v>
      </c>
      <c r="I37">
        <v>52</v>
      </c>
      <c r="J37" s="3">
        <f t="shared" si="0"/>
        <v>3</v>
      </c>
      <c r="K37" s="4">
        <f t="shared" si="1"/>
        <v>1.9230769230769231</v>
      </c>
      <c r="L37" s="4">
        <f t="shared" si="2"/>
        <v>5.7692307692307692</v>
      </c>
      <c r="M37">
        <v>17</v>
      </c>
      <c r="N37">
        <v>0</v>
      </c>
      <c r="O37" t="s">
        <v>202</v>
      </c>
    </row>
    <row r="38" spans="1:15" x14ac:dyDescent="0.2">
      <c r="A38" s="2">
        <v>12</v>
      </c>
      <c r="B38" s="2" t="s">
        <v>198</v>
      </c>
      <c r="C38" s="2" t="s">
        <v>203</v>
      </c>
      <c r="D38" s="4">
        <f>AVERAGE(K38:K40)</f>
        <v>46.297297297297298</v>
      </c>
      <c r="E38" s="4">
        <f>AVERAGE(L38:L40)</f>
        <v>50.376876876876878</v>
      </c>
      <c r="F38" s="2" t="s">
        <v>17</v>
      </c>
      <c r="G38">
        <v>56</v>
      </c>
      <c r="H38">
        <v>4</v>
      </c>
      <c r="I38">
        <v>96</v>
      </c>
      <c r="J38" s="3">
        <f t="shared" si="0"/>
        <v>60</v>
      </c>
      <c r="K38" s="4">
        <f t="shared" si="1"/>
        <v>58.333333333333336</v>
      </c>
      <c r="L38" s="4">
        <f t="shared" si="2"/>
        <v>62.5</v>
      </c>
      <c r="M38">
        <v>14</v>
      </c>
      <c r="N38">
        <v>0</v>
      </c>
      <c r="O38" t="s">
        <v>204</v>
      </c>
    </row>
    <row r="39" spans="1:15" x14ac:dyDescent="0.2">
      <c r="A39" s="2"/>
      <c r="B39" s="2"/>
      <c r="F39" s="2" t="s">
        <v>18</v>
      </c>
      <c r="G39">
        <v>29</v>
      </c>
      <c r="H39">
        <v>2</v>
      </c>
      <c r="I39">
        <v>75</v>
      </c>
      <c r="J39" s="3">
        <f t="shared" si="0"/>
        <v>31</v>
      </c>
      <c r="K39" s="4">
        <f t="shared" si="1"/>
        <v>38.666666666666664</v>
      </c>
      <c r="L39" s="4">
        <f t="shared" si="2"/>
        <v>41.333333333333336</v>
      </c>
      <c r="M39">
        <v>21</v>
      </c>
      <c r="N39">
        <v>0</v>
      </c>
      <c r="O39" t="s">
        <v>205</v>
      </c>
    </row>
    <row r="40" spans="1:15" x14ac:dyDescent="0.2">
      <c r="A40" s="2"/>
      <c r="B40" s="2"/>
      <c r="F40" s="2" t="s">
        <v>19</v>
      </c>
      <c r="G40">
        <v>31</v>
      </c>
      <c r="H40">
        <v>4</v>
      </c>
      <c r="I40">
        <v>74</v>
      </c>
      <c r="J40" s="3">
        <f t="shared" si="0"/>
        <v>35</v>
      </c>
      <c r="K40" s="4">
        <f t="shared" si="1"/>
        <v>41.891891891891895</v>
      </c>
      <c r="L40" s="4">
        <f t="shared" si="2"/>
        <v>47.297297297297298</v>
      </c>
      <c r="M40">
        <v>19</v>
      </c>
      <c r="N40">
        <v>0</v>
      </c>
      <c r="O40" t="s">
        <v>206</v>
      </c>
    </row>
    <row r="41" spans="1:15" x14ac:dyDescent="0.2">
      <c r="A41" s="2">
        <v>13</v>
      </c>
      <c r="B41" s="2" t="s">
        <v>207</v>
      </c>
      <c r="C41" s="2" t="s">
        <v>188</v>
      </c>
      <c r="D41" s="4">
        <f>AVERAGE(K41:K46)</f>
        <v>55.047817938296078</v>
      </c>
      <c r="E41" s="4">
        <f>AVERAGE(L41:L46)</f>
        <v>64.959123349732607</v>
      </c>
      <c r="F41" s="2" t="s">
        <v>17</v>
      </c>
      <c r="G41">
        <v>14</v>
      </c>
      <c r="H41">
        <v>1</v>
      </c>
      <c r="I41">
        <v>24</v>
      </c>
      <c r="J41" s="3">
        <f t="shared" si="0"/>
        <v>15</v>
      </c>
      <c r="K41" s="4">
        <f t="shared" si="1"/>
        <v>58.333333333333336</v>
      </c>
      <c r="L41" s="4">
        <f t="shared" si="2"/>
        <v>62.5</v>
      </c>
      <c r="O41" t="s">
        <v>208</v>
      </c>
    </row>
    <row r="42" spans="1:15" x14ac:dyDescent="0.2">
      <c r="A42" s="2"/>
      <c r="B42" s="2"/>
      <c r="F42" s="2" t="s">
        <v>18</v>
      </c>
      <c r="G42">
        <v>11</v>
      </c>
      <c r="H42">
        <v>1</v>
      </c>
      <c r="I42">
        <v>17</v>
      </c>
      <c r="J42" s="3">
        <f t="shared" si="0"/>
        <v>12</v>
      </c>
      <c r="K42" s="4">
        <f t="shared" si="1"/>
        <v>64.705882352941174</v>
      </c>
      <c r="L42" s="4">
        <f t="shared" si="2"/>
        <v>70.588235294117652</v>
      </c>
      <c r="M42">
        <v>1</v>
      </c>
      <c r="N42">
        <v>0</v>
      </c>
    </row>
    <row r="43" spans="1:15" x14ac:dyDescent="0.2">
      <c r="A43" s="2"/>
      <c r="B43" s="2"/>
      <c r="F43" s="2" t="s">
        <v>19</v>
      </c>
      <c r="G43">
        <v>8</v>
      </c>
      <c r="H43">
        <v>3</v>
      </c>
      <c r="I43">
        <v>19</v>
      </c>
      <c r="J43" s="3">
        <f t="shared" si="0"/>
        <v>11</v>
      </c>
      <c r="K43" s="4">
        <f t="shared" si="1"/>
        <v>42.105263157894733</v>
      </c>
      <c r="L43" s="4">
        <f t="shared" si="2"/>
        <v>57.894736842105267</v>
      </c>
      <c r="M43">
        <v>1</v>
      </c>
      <c r="N43">
        <v>0</v>
      </c>
    </row>
    <row r="44" spans="1:15" x14ac:dyDescent="0.2">
      <c r="A44" s="2"/>
      <c r="B44" s="2"/>
      <c r="F44" s="2" t="s">
        <v>38</v>
      </c>
      <c r="G44">
        <v>17</v>
      </c>
      <c r="H44">
        <v>5</v>
      </c>
      <c r="I44">
        <v>29</v>
      </c>
      <c r="J44" s="3">
        <f t="shared" si="0"/>
        <v>22</v>
      </c>
      <c r="K44" s="4">
        <f t="shared" si="1"/>
        <v>58.620689655172406</v>
      </c>
      <c r="L44" s="4">
        <f t="shared" si="2"/>
        <v>75.862068965517238</v>
      </c>
      <c r="O44" t="s">
        <v>209</v>
      </c>
    </row>
    <row r="45" spans="1:15" x14ac:dyDescent="0.2">
      <c r="A45" s="2"/>
      <c r="B45" s="2"/>
      <c r="F45" s="2" t="s">
        <v>40</v>
      </c>
      <c r="G45">
        <v>13</v>
      </c>
      <c r="H45">
        <v>2</v>
      </c>
      <c r="I45">
        <v>26</v>
      </c>
      <c r="J45" s="3">
        <f t="shared" si="0"/>
        <v>15</v>
      </c>
      <c r="K45" s="4">
        <f t="shared" si="1"/>
        <v>50</v>
      </c>
      <c r="L45" s="4">
        <f t="shared" si="2"/>
        <v>57.692307692307686</v>
      </c>
      <c r="M45">
        <v>1</v>
      </c>
      <c r="N45">
        <v>0</v>
      </c>
    </row>
    <row r="46" spans="1:15" x14ac:dyDescent="0.2">
      <c r="A46" s="2"/>
      <c r="B46" s="2"/>
      <c r="F46" s="2" t="s">
        <v>42</v>
      </c>
      <c r="G46">
        <v>13</v>
      </c>
      <c r="H46">
        <v>2</v>
      </c>
      <c r="I46">
        <v>23</v>
      </c>
      <c r="J46" s="3">
        <f t="shared" si="0"/>
        <v>15</v>
      </c>
      <c r="K46" s="4">
        <f t="shared" si="1"/>
        <v>56.521739130434781</v>
      </c>
      <c r="L46" s="4">
        <f t="shared" si="2"/>
        <v>65.217391304347828</v>
      </c>
    </row>
    <row r="47" spans="1:15" x14ac:dyDescent="0.2">
      <c r="A47" s="2">
        <v>14</v>
      </c>
      <c r="B47" s="6" t="s">
        <v>207</v>
      </c>
      <c r="C47" s="2" t="s">
        <v>183</v>
      </c>
      <c r="D47" s="4">
        <f>AVERAGE(K47:K49)</f>
        <v>59.523809523809518</v>
      </c>
      <c r="E47" s="4">
        <f>AVERAGE(L47:L49)</f>
        <v>78.571428571428569</v>
      </c>
      <c r="F47" s="2" t="s">
        <v>17</v>
      </c>
      <c r="G47">
        <v>4</v>
      </c>
      <c r="H47">
        <v>0</v>
      </c>
      <c r="I47">
        <v>8</v>
      </c>
      <c r="J47" s="3">
        <f t="shared" si="0"/>
        <v>4</v>
      </c>
      <c r="K47" s="4">
        <f t="shared" si="1"/>
        <v>50</v>
      </c>
      <c r="L47" s="4">
        <f t="shared" si="2"/>
        <v>50</v>
      </c>
      <c r="O47" t="s">
        <v>210</v>
      </c>
    </row>
    <row r="48" spans="1:15" x14ac:dyDescent="0.2">
      <c r="A48" s="2"/>
      <c r="B48" s="2"/>
      <c r="F48" s="2" t="s">
        <v>18</v>
      </c>
      <c r="G48">
        <v>3</v>
      </c>
      <c r="H48">
        <v>0</v>
      </c>
      <c r="I48">
        <v>3</v>
      </c>
      <c r="J48" s="3">
        <f t="shared" si="0"/>
        <v>3</v>
      </c>
      <c r="K48" s="4">
        <f t="shared" si="1"/>
        <v>100</v>
      </c>
      <c r="L48" s="4">
        <f t="shared" si="2"/>
        <v>100</v>
      </c>
    </row>
    <row r="49" spans="1:15" x14ac:dyDescent="0.2">
      <c r="A49" s="2"/>
      <c r="B49" s="2"/>
      <c r="F49" s="2" t="s">
        <v>19</v>
      </c>
      <c r="G49">
        <v>2</v>
      </c>
      <c r="H49">
        <v>4</v>
      </c>
      <c r="I49">
        <v>7</v>
      </c>
      <c r="J49" s="3">
        <f t="shared" si="0"/>
        <v>6</v>
      </c>
      <c r="K49" s="4">
        <f t="shared" si="1"/>
        <v>28.571428571428569</v>
      </c>
      <c r="L49" s="4">
        <f t="shared" si="2"/>
        <v>85.714285714285708</v>
      </c>
    </row>
    <row r="50" spans="1:15" x14ac:dyDescent="0.2">
      <c r="A50" s="2">
        <v>15</v>
      </c>
      <c r="B50" s="6" t="s">
        <v>211</v>
      </c>
      <c r="C50" s="2" t="s">
        <v>180</v>
      </c>
      <c r="D50" s="4">
        <f>AVERAGE(K50:K52)</f>
        <v>72.260142957817379</v>
      </c>
      <c r="E50" s="4">
        <f>AVERAGE(L50:L52)</f>
        <v>84.227323064532371</v>
      </c>
      <c r="F50" s="2" t="s">
        <v>17</v>
      </c>
      <c r="G50">
        <v>30</v>
      </c>
      <c r="H50">
        <v>6</v>
      </c>
      <c r="I50">
        <v>43</v>
      </c>
      <c r="J50" s="3">
        <f t="shared" si="0"/>
        <v>36</v>
      </c>
      <c r="K50" s="4">
        <f t="shared" si="1"/>
        <v>69.767441860465112</v>
      </c>
      <c r="L50" s="4">
        <f t="shared" si="2"/>
        <v>83.720930232558146</v>
      </c>
      <c r="O50" t="s">
        <v>212</v>
      </c>
    </row>
    <row r="51" spans="1:15" x14ac:dyDescent="0.2">
      <c r="A51" s="2"/>
      <c r="B51" s="2"/>
      <c r="F51" s="2" t="s">
        <v>18</v>
      </c>
      <c r="G51">
        <v>40</v>
      </c>
      <c r="H51">
        <v>5</v>
      </c>
      <c r="I51">
        <v>55</v>
      </c>
      <c r="J51" s="3">
        <f t="shared" si="0"/>
        <v>45</v>
      </c>
      <c r="K51" s="4">
        <f t="shared" si="1"/>
        <v>72.727272727272734</v>
      </c>
      <c r="L51" s="4">
        <f t="shared" si="2"/>
        <v>81.818181818181827</v>
      </c>
    </row>
    <row r="52" spans="1:15" x14ac:dyDescent="0.2">
      <c r="A52" s="2"/>
      <c r="B52" s="2"/>
      <c r="F52" s="2" t="s">
        <v>19</v>
      </c>
      <c r="G52">
        <v>52</v>
      </c>
      <c r="H52">
        <v>9</v>
      </c>
      <c r="I52">
        <v>70</v>
      </c>
      <c r="J52" s="3">
        <f t="shared" si="0"/>
        <v>61</v>
      </c>
      <c r="K52" s="4">
        <f t="shared" si="1"/>
        <v>74.285714285714292</v>
      </c>
      <c r="L52" s="4">
        <f t="shared" si="2"/>
        <v>87.142857142857139</v>
      </c>
    </row>
    <row r="53" spans="1:15" x14ac:dyDescent="0.2">
      <c r="A53" s="2">
        <v>16</v>
      </c>
      <c r="B53" s="6" t="s">
        <v>211</v>
      </c>
      <c r="C53" s="2" t="s">
        <v>175</v>
      </c>
      <c r="D53" s="4">
        <f>AVERAGE(K53:K55)</f>
        <v>34.301346801346803</v>
      </c>
      <c r="E53" s="4">
        <f>AVERAGE(L53:L55)</f>
        <v>60.563973063973066</v>
      </c>
      <c r="F53" s="2" t="s">
        <v>17</v>
      </c>
      <c r="G53">
        <v>36</v>
      </c>
      <c r="H53">
        <v>23</v>
      </c>
      <c r="I53">
        <v>88</v>
      </c>
      <c r="J53" s="3">
        <f t="shared" si="0"/>
        <v>59</v>
      </c>
      <c r="K53" s="4">
        <f t="shared" si="1"/>
        <v>40.909090909090914</v>
      </c>
      <c r="L53" s="4">
        <f t="shared" si="2"/>
        <v>67.045454545454547</v>
      </c>
      <c r="O53" t="s">
        <v>213</v>
      </c>
    </row>
    <row r="54" spans="1:15" x14ac:dyDescent="0.2">
      <c r="A54" s="2"/>
      <c r="B54" s="2"/>
      <c r="F54" s="2" t="s">
        <v>18</v>
      </c>
      <c r="G54">
        <v>25</v>
      </c>
      <c r="H54">
        <v>15</v>
      </c>
      <c r="I54">
        <v>72</v>
      </c>
      <c r="J54" s="3">
        <f t="shared" si="0"/>
        <v>40</v>
      </c>
      <c r="K54" s="4">
        <f t="shared" si="1"/>
        <v>34.722222222222221</v>
      </c>
      <c r="L54" s="4">
        <f t="shared" si="2"/>
        <v>55.555555555555557</v>
      </c>
    </row>
    <row r="55" spans="1:15" x14ac:dyDescent="0.2">
      <c r="A55" s="2"/>
      <c r="B55" s="2"/>
      <c r="F55" s="2" t="s">
        <v>19</v>
      </c>
      <c r="G55">
        <v>24</v>
      </c>
      <c r="H55">
        <v>28</v>
      </c>
      <c r="I55">
        <v>88</v>
      </c>
      <c r="J55" s="3">
        <f t="shared" si="0"/>
        <v>52</v>
      </c>
      <c r="K55" s="4">
        <f t="shared" si="1"/>
        <v>27.27272727272727</v>
      </c>
      <c r="L55" s="4">
        <f t="shared" si="2"/>
        <v>59.090909090909093</v>
      </c>
      <c r="M55">
        <v>4</v>
      </c>
      <c r="N55">
        <v>0</v>
      </c>
      <c r="O55" t="s">
        <v>214</v>
      </c>
    </row>
    <row r="56" spans="1:15" x14ac:dyDescent="0.2">
      <c r="A56" s="2">
        <v>17</v>
      </c>
      <c r="B56" s="6" t="s">
        <v>211</v>
      </c>
      <c r="C56" s="2" t="s">
        <v>183</v>
      </c>
      <c r="D56" s="4">
        <f t="shared" ref="D56:E56" si="9">AVERAGE(K56:K58)</f>
        <v>82.846320346320354</v>
      </c>
      <c r="E56" s="4">
        <f t="shared" si="9"/>
        <v>88.588263588263587</v>
      </c>
      <c r="F56" s="2" t="s">
        <v>17</v>
      </c>
      <c r="G56">
        <v>60</v>
      </c>
      <c r="H56">
        <v>2</v>
      </c>
      <c r="I56">
        <v>72</v>
      </c>
      <c r="J56" s="3">
        <f t="shared" si="0"/>
        <v>62</v>
      </c>
      <c r="K56" s="4">
        <f t="shared" si="1"/>
        <v>83.333333333333343</v>
      </c>
      <c r="L56" s="4">
        <f t="shared" si="2"/>
        <v>86.111111111111114</v>
      </c>
      <c r="O56" t="s">
        <v>185</v>
      </c>
    </row>
    <row r="57" spans="1:15" x14ac:dyDescent="0.2">
      <c r="A57" s="2"/>
      <c r="B57" s="2"/>
      <c r="F57" s="2" t="s">
        <v>18</v>
      </c>
      <c r="G57">
        <v>45</v>
      </c>
      <c r="H57">
        <v>3</v>
      </c>
      <c r="I57">
        <v>56</v>
      </c>
      <c r="J57" s="3">
        <f t="shared" si="0"/>
        <v>48</v>
      </c>
      <c r="K57" s="4">
        <f t="shared" si="1"/>
        <v>80.357142857142861</v>
      </c>
      <c r="L57" s="4">
        <f t="shared" si="2"/>
        <v>85.714285714285708</v>
      </c>
      <c r="M57">
        <v>3</v>
      </c>
      <c r="N57">
        <v>0</v>
      </c>
      <c r="O57" t="s">
        <v>215</v>
      </c>
    </row>
    <row r="58" spans="1:15" x14ac:dyDescent="0.2">
      <c r="A58" s="2"/>
      <c r="B58" s="2"/>
      <c r="F58" s="2" t="s">
        <v>19</v>
      </c>
      <c r="G58">
        <v>56</v>
      </c>
      <c r="H58">
        <v>6</v>
      </c>
      <c r="I58">
        <v>66</v>
      </c>
      <c r="J58" s="3">
        <f t="shared" si="0"/>
        <v>62</v>
      </c>
      <c r="K58" s="4">
        <f t="shared" si="1"/>
        <v>84.848484848484844</v>
      </c>
      <c r="L58" s="4">
        <f t="shared" si="2"/>
        <v>93.939393939393938</v>
      </c>
    </row>
    <row r="59" spans="1:15" x14ac:dyDescent="0.2">
      <c r="A59" s="2">
        <v>18</v>
      </c>
      <c r="B59" s="6" t="s">
        <v>216</v>
      </c>
      <c r="C59" s="2" t="s">
        <v>179</v>
      </c>
      <c r="D59" s="4">
        <f t="shared" ref="D59:E59" si="10">AVERAGE(K59:K61)</f>
        <v>38.888888888888886</v>
      </c>
      <c r="E59" s="4">
        <f t="shared" si="10"/>
        <v>49.801587301587311</v>
      </c>
      <c r="F59" s="2" t="s">
        <v>17</v>
      </c>
      <c r="G59">
        <v>7</v>
      </c>
      <c r="H59">
        <v>3</v>
      </c>
      <c r="I59">
        <v>21</v>
      </c>
      <c r="J59" s="3">
        <f t="shared" si="0"/>
        <v>10</v>
      </c>
      <c r="K59" s="4">
        <f t="shared" si="1"/>
        <v>33.333333333333329</v>
      </c>
      <c r="L59" s="4">
        <f t="shared" si="2"/>
        <v>47.619047619047613</v>
      </c>
      <c r="M59">
        <v>0</v>
      </c>
      <c r="N59">
        <v>4</v>
      </c>
    </row>
    <row r="60" spans="1:15" x14ac:dyDescent="0.2">
      <c r="A60" s="2"/>
      <c r="B60" s="2"/>
      <c r="F60" s="2" t="s">
        <v>18</v>
      </c>
      <c r="G60">
        <v>8</v>
      </c>
      <c r="H60">
        <v>1</v>
      </c>
      <c r="I60">
        <v>24</v>
      </c>
      <c r="J60" s="3">
        <f t="shared" si="0"/>
        <v>9</v>
      </c>
      <c r="K60" s="4">
        <f t="shared" si="1"/>
        <v>33.333333333333329</v>
      </c>
      <c r="L60" s="4">
        <f t="shared" si="2"/>
        <v>37.5</v>
      </c>
      <c r="M60">
        <v>0</v>
      </c>
      <c r="N60">
        <v>4</v>
      </c>
    </row>
    <row r="61" spans="1:15" x14ac:dyDescent="0.2">
      <c r="A61" s="2"/>
      <c r="B61" s="2"/>
      <c r="F61" s="2" t="s">
        <v>19</v>
      </c>
      <c r="G61">
        <v>14</v>
      </c>
      <c r="H61">
        <v>4</v>
      </c>
      <c r="I61">
        <v>28</v>
      </c>
      <c r="J61" s="3">
        <f t="shared" si="0"/>
        <v>18</v>
      </c>
      <c r="K61" s="4">
        <f t="shared" si="1"/>
        <v>50</v>
      </c>
      <c r="L61" s="4">
        <f t="shared" si="2"/>
        <v>64.285714285714292</v>
      </c>
      <c r="M61">
        <v>0</v>
      </c>
      <c r="N61">
        <v>1</v>
      </c>
    </row>
    <row r="62" spans="1:15" x14ac:dyDescent="0.2">
      <c r="A62" s="2">
        <v>19</v>
      </c>
      <c r="B62" s="6" t="s">
        <v>216</v>
      </c>
      <c r="C62" s="2" t="s">
        <v>181</v>
      </c>
      <c r="D62" s="4">
        <f t="shared" ref="D62:E62" si="11">AVERAGE(K62:K64)</f>
        <v>82.600732600732599</v>
      </c>
      <c r="E62" s="4">
        <f t="shared" si="11"/>
        <v>85.073260073260073</v>
      </c>
      <c r="F62" s="2" t="s">
        <v>17</v>
      </c>
      <c r="G62">
        <v>22</v>
      </c>
      <c r="H62">
        <v>1</v>
      </c>
      <c r="I62">
        <v>28</v>
      </c>
      <c r="J62" s="3">
        <f t="shared" si="0"/>
        <v>23</v>
      </c>
      <c r="K62" s="4">
        <f t="shared" si="1"/>
        <v>78.571428571428569</v>
      </c>
      <c r="L62" s="4">
        <f t="shared" si="2"/>
        <v>82.142857142857139</v>
      </c>
      <c r="O62" t="s">
        <v>185</v>
      </c>
    </row>
    <row r="63" spans="1:15" x14ac:dyDescent="0.2">
      <c r="A63" s="2"/>
      <c r="B63" s="2"/>
      <c r="F63" s="2" t="s">
        <v>18</v>
      </c>
      <c r="G63">
        <v>18</v>
      </c>
      <c r="H63">
        <v>1</v>
      </c>
      <c r="I63">
        <v>26</v>
      </c>
      <c r="J63" s="3">
        <f t="shared" si="0"/>
        <v>19</v>
      </c>
      <c r="K63" s="4">
        <f t="shared" si="1"/>
        <v>69.230769230769226</v>
      </c>
      <c r="L63" s="4">
        <f t="shared" si="2"/>
        <v>73.076923076923066</v>
      </c>
    </row>
    <row r="64" spans="1:15" x14ac:dyDescent="0.2">
      <c r="A64" s="2"/>
      <c r="B64" s="2"/>
      <c r="F64" s="2" t="s">
        <v>19</v>
      </c>
      <c r="G64">
        <v>22</v>
      </c>
      <c r="H64">
        <v>0</v>
      </c>
      <c r="I64">
        <v>22</v>
      </c>
      <c r="J64" s="3">
        <f t="shared" si="0"/>
        <v>22</v>
      </c>
      <c r="K64" s="4">
        <f t="shared" si="1"/>
        <v>100</v>
      </c>
      <c r="L64" s="4">
        <f t="shared" si="2"/>
        <v>100</v>
      </c>
    </row>
    <row r="65" spans="1:15" x14ac:dyDescent="0.2">
      <c r="A65" s="2">
        <v>20</v>
      </c>
      <c r="B65" s="6" t="s">
        <v>217</v>
      </c>
      <c r="C65" s="2" t="s">
        <v>191</v>
      </c>
      <c r="D65" s="4">
        <f t="shared" ref="D65:E65" si="12">AVERAGE(K65:K67)</f>
        <v>89.924242424242422</v>
      </c>
      <c r="E65" s="4">
        <f t="shared" si="12"/>
        <v>93.674242424242422</v>
      </c>
      <c r="F65" s="2" t="s">
        <v>17</v>
      </c>
      <c r="G65">
        <v>37</v>
      </c>
      <c r="H65">
        <v>2</v>
      </c>
      <c r="I65">
        <v>40</v>
      </c>
      <c r="J65" s="3">
        <f t="shared" si="0"/>
        <v>39</v>
      </c>
      <c r="K65" s="4">
        <f t="shared" si="1"/>
        <v>92.5</v>
      </c>
      <c r="L65" s="4">
        <f t="shared" si="2"/>
        <v>97.5</v>
      </c>
    </row>
    <row r="66" spans="1:15" x14ac:dyDescent="0.2">
      <c r="A66" s="2"/>
      <c r="B66" s="2"/>
      <c r="F66" s="2" t="s">
        <v>18</v>
      </c>
      <c r="G66">
        <v>31</v>
      </c>
      <c r="H66">
        <v>0</v>
      </c>
      <c r="I66">
        <v>33</v>
      </c>
      <c r="J66" s="3">
        <f t="shared" si="0"/>
        <v>31</v>
      </c>
      <c r="K66" s="4">
        <f t="shared" si="1"/>
        <v>93.939393939393938</v>
      </c>
      <c r="L66" s="4">
        <f t="shared" si="2"/>
        <v>93.939393939393938</v>
      </c>
    </row>
    <row r="67" spans="1:15" x14ac:dyDescent="0.2">
      <c r="A67" s="2"/>
      <c r="B67" s="2"/>
      <c r="F67" s="2" t="s">
        <v>19</v>
      </c>
      <c r="G67">
        <v>40</v>
      </c>
      <c r="H67">
        <v>3</v>
      </c>
      <c r="I67">
        <v>48</v>
      </c>
      <c r="J67" s="3">
        <f t="shared" si="0"/>
        <v>43</v>
      </c>
      <c r="K67" s="4">
        <f t="shared" si="1"/>
        <v>83.333333333333343</v>
      </c>
      <c r="L67" s="4">
        <f t="shared" si="2"/>
        <v>89.583333333333343</v>
      </c>
      <c r="M67">
        <v>2</v>
      </c>
      <c r="N67">
        <v>3</v>
      </c>
      <c r="O67" t="s">
        <v>218</v>
      </c>
    </row>
    <row r="68" spans="1:15" x14ac:dyDescent="0.2">
      <c r="A68" s="2">
        <v>21</v>
      </c>
      <c r="B68" s="6" t="s">
        <v>217</v>
      </c>
      <c r="C68" s="2" t="s">
        <v>186</v>
      </c>
      <c r="D68" s="4">
        <f t="shared" ref="D68:E68" si="13">AVERAGE(K68:K70)</f>
        <v>5.6438791732909381</v>
      </c>
      <c r="E68" s="4">
        <f t="shared" si="13"/>
        <v>28.832706451070873</v>
      </c>
      <c r="F68" s="2" t="s">
        <v>17</v>
      </c>
      <c r="G68">
        <v>3</v>
      </c>
      <c r="H68">
        <v>7</v>
      </c>
      <c r="I68">
        <v>34</v>
      </c>
      <c r="J68" s="3">
        <f t="shared" si="0"/>
        <v>10</v>
      </c>
      <c r="K68" s="4">
        <f t="shared" si="1"/>
        <v>8.8235294117647065</v>
      </c>
      <c r="L68" s="4">
        <f t="shared" si="2"/>
        <v>29.411764705882355</v>
      </c>
    </row>
    <row r="69" spans="1:15" x14ac:dyDescent="0.2">
      <c r="A69" s="2"/>
      <c r="B69" s="2"/>
      <c r="F69" s="2" t="s">
        <v>18</v>
      </c>
      <c r="G69">
        <v>0</v>
      </c>
      <c r="H69">
        <v>9</v>
      </c>
      <c r="I69">
        <v>41</v>
      </c>
      <c r="J69" s="3">
        <f t="shared" si="0"/>
        <v>9</v>
      </c>
      <c r="K69" s="4">
        <f t="shared" si="1"/>
        <v>0</v>
      </c>
      <c r="L69" s="4">
        <f t="shared" si="2"/>
        <v>21.951219512195124</v>
      </c>
      <c r="M69">
        <v>0</v>
      </c>
      <c r="N69">
        <v>2</v>
      </c>
    </row>
    <row r="70" spans="1:15" x14ac:dyDescent="0.2">
      <c r="A70" s="2"/>
      <c r="B70" s="2"/>
      <c r="F70" s="2" t="s">
        <v>19</v>
      </c>
      <c r="G70">
        <v>3</v>
      </c>
      <c r="H70">
        <v>10</v>
      </c>
      <c r="I70">
        <v>37</v>
      </c>
      <c r="J70" s="3">
        <f t="shared" si="0"/>
        <v>13</v>
      </c>
      <c r="K70" s="4">
        <f t="shared" si="1"/>
        <v>8.1081081081081088</v>
      </c>
      <c r="L70" s="4">
        <f t="shared" si="2"/>
        <v>35.135135135135137</v>
      </c>
      <c r="O70" t="s">
        <v>148</v>
      </c>
    </row>
    <row r="71" spans="1:15" x14ac:dyDescent="0.2">
      <c r="A71" s="2">
        <v>22</v>
      </c>
      <c r="B71" s="6" t="s">
        <v>217</v>
      </c>
      <c r="C71" s="2" t="s">
        <v>194</v>
      </c>
      <c r="D71" s="4">
        <f t="shared" ref="D71:E71" si="14">AVERAGE(K71:K73)</f>
        <v>13.583932769979283</v>
      </c>
      <c r="E71" s="4">
        <f t="shared" si="14"/>
        <v>35.200316595665434</v>
      </c>
      <c r="F71" s="2" t="s">
        <v>17</v>
      </c>
      <c r="G71">
        <v>8</v>
      </c>
      <c r="H71">
        <v>9</v>
      </c>
      <c r="I71">
        <v>43</v>
      </c>
      <c r="J71" s="3">
        <f t="shared" si="0"/>
        <v>17</v>
      </c>
      <c r="K71" s="4">
        <f t="shared" si="1"/>
        <v>18.604651162790699</v>
      </c>
      <c r="L71" s="4">
        <f t="shared" si="2"/>
        <v>39.534883720930232</v>
      </c>
      <c r="O71" t="s">
        <v>219</v>
      </c>
    </row>
    <row r="72" spans="1:15" x14ac:dyDescent="0.2">
      <c r="A72" s="2"/>
      <c r="B72" s="2"/>
      <c r="F72" s="2" t="s">
        <v>18</v>
      </c>
      <c r="G72">
        <v>1</v>
      </c>
      <c r="H72">
        <v>7</v>
      </c>
      <c r="I72">
        <v>37</v>
      </c>
      <c r="J72" s="3">
        <f t="shared" si="0"/>
        <v>8</v>
      </c>
      <c r="K72" s="4">
        <f t="shared" si="1"/>
        <v>2.7027027027027026</v>
      </c>
      <c r="L72" s="4">
        <f t="shared" si="2"/>
        <v>21.621621621621621</v>
      </c>
      <c r="M72">
        <v>0</v>
      </c>
      <c r="N72">
        <v>2</v>
      </c>
      <c r="O72" t="s">
        <v>220</v>
      </c>
    </row>
    <row r="73" spans="1:15" x14ac:dyDescent="0.2">
      <c r="A73" s="2"/>
      <c r="B73" s="2"/>
      <c r="F73" s="2" t="s">
        <v>19</v>
      </c>
      <c r="G73">
        <v>7</v>
      </c>
      <c r="H73">
        <v>9</v>
      </c>
      <c r="I73">
        <v>36</v>
      </c>
      <c r="J73" s="3">
        <f t="shared" ref="J73:J142" si="15">SUM(G73:H73)</f>
        <v>16</v>
      </c>
      <c r="K73" s="4">
        <f t="shared" ref="K73:K142" si="16">G73/I73*100</f>
        <v>19.444444444444446</v>
      </c>
      <c r="L73" s="4">
        <f t="shared" ref="L73:L142" si="17">J73/I73*100</f>
        <v>44.444444444444443</v>
      </c>
      <c r="M73">
        <v>0</v>
      </c>
      <c r="N73">
        <v>1</v>
      </c>
    </row>
    <row r="74" spans="1:15" x14ac:dyDescent="0.2">
      <c r="A74" s="2">
        <v>23</v>
      </c>
      <c r="B74" s="6" t="s">
        <v>221</v>
      </c>
      <c r="C74" s="2" t="s">
        <v>196</v>
      </c>
      <c r="D74" s="4">
        <f t="shared" ref="D74:E74" si="18">AVERAGE(K74:K76)</f>
        <v>56.003086419753082</v>
      </c>
      <c r="E74" s="4">
        <f t="shared" si="18"/>
        <v>64.456790123456798</v>
      </c>
      <c r="F74" s="2" t="s">
        <v>17</v>
      </c>
      <c r="G74">
        <v>10</v>
      </c>
      <c r="H74">
        <v>2</v>
      </c>
      <c r="I74">
        <v>25</v>
      </c>
      <c r="J74" s="3">
        <f t="shared" si="15"/>
        <v>12</v>
      </c>
      <c r="K74" s="4">
        <f t="shared" si="16"/>
        <v>40</v>
      </c>
      <c r="L74" s="4">
        <f t="shared" si="17"/>
        <v>48</v>
      </c>
      <c r="M74">
        <v>0</v>
      </c>
      <c r="N74">
        <v>2</v>
      </c>
    </row>
    <row r="75" spans="1:15" x14ac:dyDescent="0.2">
      <c r="A75" s="2"/>
      <c r="B75" s="2"/>
      <c r="F75" s="2" t="s">
        <v>18</v>
      </c>
      <c r="G75">
        <v>16</v>
      </c>
      <c r="H75">
        <v>3</v>
      </c>
      <c r="I75">
        <v>27</v>
      </c>
      <c r="J75" s="3">
        <f t="shared" si="15"/>
        <v>19</v>
      </c>
      <c r="K75" s="4">
        <f t="shared" si="16"/>
        <v>59.259259259259252</v>
      </c>
      <c r="L75" s="4">
        <f t="shared" si="17"/>
        <v>70.370370370370367</v>
      </c>
      <c r="M75">
        <v>0</v>
      </c>
      <c r="N75">
        <v>4</v>
      </c>
    </row>
    <row r="76" spans="1:15" x14ac:dyDescent="0.2">
      <c r="A76" s="2"/>
      <c r="B76" s="2"/>
      <c r="C76" s="2"/>
      <c r="F76" s="2" t="s">
        <v>19</v>
      </c>
      <c r="G76">
        <v>11</v>
      </c>
      <c r="H76">
        <v>1</v>
      </c>
      <c r="I76">
        <v>16</v>
      </c>
      <c r="J76" s="3">
        <f t="shared" si="15"/>
        <v>12</v>
      </c>
      <c r="K76" s="4">
        <f t="shared" si="16"/>
        <v>68.75</v>
      </c>
      <c r="L76" s="4">
        <f t="shared" si="17"/>
        <v>75</v>
      </c>
      <c r="O76" t="s">
        <v>219</v>
      </c>
    </row>
    <row r="77" spans="1:15" x14ac:dyDescent="0.2">
      <c r="A77" s="2">
        <v>24</v>
      </c>
      <c r="B77" s="6" t="s">
        <v>221</v>
      </c>
      <c r="C77" s="2" t="s">
        <v>179</v>
      </c>
      <c r="D77" s="4">
        <f t="shared" ref="D77:E77" si="19">AVERAGE(K77:K79)</f>
        <v>32.142282033586376</v>
      </c>
      <c r="E77" s="4">
        <f t="shared" si="19"/>
        <v>48.725557855992633</v>
      </c>
      <c r="F77" s="2" t="s">
        <v>17</v>
      </c>
      <c r="G77">
        <v>29</v>
      </c>
      <c r="H77">
        <v>11</v>
      </c>
      <c r="I77">
        <v>72</v>
      </c>
      <c r="J77" s="3">
        <f t="shared" si="15"/>
        <v>40</v>
      </c>
      <c r="K77" s="4">
        <f t="shared" si="16"/>
        <v>40.277777777777779</v>
      </c>
      <c r="L77" s="4">
        <f t="shared" si="17"/>
        <v>55.555555555555557</v>
      </c>
      <c r="O77" t="s">
        <v>222</v>
      </c>
    </row>
    <row r="78" spans="1:15" x14ac:dyDescent="0.2">
      <c r="A78" s="2"/>
      <c r="B78" s="2"/>
      <c r="C78" s="2"/>
      <c r="F78" s="2" t="s">
        <v>18</v>
      </c>
      <c r="G78">
        <v>21</v>
      </c>
      <c r="H78">
        <v>9</v>
      </c>
      <c r="I78">
        <v>69</v>
      </c>
      <c r="J78" s="3">
        <f t="shared" si="15"/>
        <v>30</v>
      </c>
      <c r="K78" s="4">
        <f t="shared" si="16"/>
        <v>30.434782608695656</v>
      </c>
      <c r="L78" s="4">
        <f t="shared" si="17"/>
        <v>43.478260869565219</v>
      </c>
    </row>
    <row r="79" spans="1:15" x14ac:dyDescent="0.2">
      <c r="A79" s="2"/>
      <c r="B79" s="2"/>
      <c r="C79" s="2"/>
      <c r="F79" s="2" t="s">
        <v>19</v>
      </c>
      <c r="G79">
        <v>18</v>
      </c>
      <c r="H79">
        <v>15</v>
      </c>
      <c r="I79">
        <v>70</v>
      </c>
      <c r="J79" s="3">
        <f t="shared" si="15"/>
        <v>33</v>
      </c>
      <c r="K79" s="4">
        <f t="shared" si="16"/>
        <v>25.714285714285712</v>
      </c>
      <c r="L79" s="4">
        <f t="shared" si="17"/>
        <v>47.142857142857139</v>
      </c>
    </row>
    <row r="80" spans="1:15" x14ac:dyDescent="0.2">
      <c r="A80" s="2">
        <v>25</v>
      </c>
      <c r="B80" s="2" t="s">
        <v>15</v>
      </c>
      <c r="C80" s="2" t="s">
        <v>223</v>
      </c>
      <c r="D80" s="4">
        <f t="shared" ref="D80:E80" si="20">AVERAGE(K80:K82)</f>
        <v>69.095766160345406</v>
      </c>
      <c r="E80" s="4">
        <f t="shared" si="20"/>
        <v>83.639300469046063</v>
      </c>
      <c r="F80" s="2" t="s">
        <v>17</v>
      </c>
      <c r="G80">
        <v>34</v>
      </c>
      <c r="H80">
        <v>10</v>
      </c>
      <c r="I80">
        <v>49</v>
      </c>
      <c r="J80" s="3">
        <f t="shared" si="15"/>
        <v>44</v>
      </c>
      <c r="K80" s="4">
        <f t="shared" si="16"/>
        <v>69.387755102040813</v>
      </c>
      <c r="L80" s="4">
        <f t="shared" si="17"/>
        <v>89.795918367346943</v>
      </c>
      <c r="M80">
        <v>0</v>
      </c>
      <c r="N80">
        <v>4</v>
      </c>
      <c r="O80" t="s">
        <v>224</v>
      </c>
    </row>
    <row r="81" spans="1:15" x14ac:dyDescent="0.2">
      <c r="A81" s="2"/>
      <c r="B81" s="2"/>
      <c r="C81" s="2"/>
      <c r="F81" s="2" t="s">
        <v>18</v>
      </c>
      <c r="G81">
        <v>28</v>
      </c>
      <c r="H81">
        <v>4</v>
      </c>
      <c r="I81">
        <v>42</v>
      </c>
      <c r="J81" s="3">
        <f t="shared" si="15"/>
        <v>32</v>
      </c>
      <c r="K81" s="4">
        <f t="shared" si="16"/>
        <v>66.666666666666657</v>
      </c>
      <c r="L81" s="4">
        <f t="shared" si="17"/>
        <v>76.19047619047619</v>
      </c>
      <c r="M81">
        <v>0</v>
      </c>
      <c r="N81">
        <v>2</v>
      </c>
    </row>
    <row r="82" spans="1:15" x14ac:dyDescent="0.2">
      <c r="A82" s="2"/>
      <c r="B82" s="2"/>
      <c r="C82" s="2"/>
      <c r="F82" s="2" t="s">
        <v>19</v>
      </c>
      <c r="G82">
        <v>52</v>
      </c>
      <c r="H82">
        <v>10</v>
      </c>
      <c r="I82">
        <v>73</v>
      </c>
      <c r="J82" s="3">
        <f t="shared" si="15"/>
        <v>62</v>
      </c>
      <c r="K82" s="4">
        <f t="shared" si="16"/>
        <v>71.232876712328761</v>
      </c>
      <c r="L82" s="4">
        <f t="shared" si="17"/>
        <v>84.93150684931507</v>
      </c>
    </row>
    <row r="83" spans="1:15" x14ac:dyDescent="0.2">
      <c r="A83" s="2">
        <v>26</v>
      </c>
      <c r="B83" s="2" t="s">
        <v>15</v>
      </c>
      <c r="C83" s="2" t="s">
        <v>225</v>
      </c>
      <c r="D83" s="4">
        <f t="shared" ref="D83:E83" si="21">AVERAGE(K83:K85)</f>
        <v>91.438445275654587</v>
      </c>
      <c r="E83" s="4">
        <f t="shared" si="21"/>
        <v>95.687103594080341</v>
      </c>
      <c r="F83" s="2" t="s">
        <v>17</v>
      </c>
      <c r="G83">
        <v>36</v>
      </c>
      <c r="H83">
        <v>3</v>
      </c>
      <c r="I83">
        <v>43</v>
      </c>
      <c r="J83" s="3">
        <f t="shared" si="15"/>
        <v>39</v>
      </c>
      <c r="K83" s="4">
        <f t="shared" si="16"/>
        <v>83.720930232558146</v>
      </c>
      <c r="L83" s="4">
        <f t="shared" si="17"/>
        <v>90.697674418604649</v>
      </c>
      <c r="O83" t="s">
        <v>226</v>
      </c>
    </row>
    <row r="84" spans="1:15" x14ac:dyDescent="0.2">
      <c r="A84" s="2"/>
      <c r="B84" s="2"/>
      <c r="C84" s="2"/>
      <c r="F84" s="2" t="s">
        <v>18</v>
      </c>
      <c r="G84">
        <v>49</v>
      </c>
      <c r="H84">
        <v>3</v>
      </c>
      <c r="I84">
        <v>52</v>
      </c>
      <c r="J84" s="3">
        <f t="shared" si="15"/>
        <v>52</v>
      </c>
      <c r="K84" s="4">
        <f t="shared" si="16"/>
        <v>94.230769230769226</v>
      </c>
      <c r="L84" s="4">
        <f t="shared" si="17"/>
        <v>100</v>
      </c>
    </row>
    <row r="85" spans="1:15" x14ac:dyDescent="0.2">
      <c r="A85" s="2"/>
      <c r="B85" s="2"/>
      <c r="C85" s="2"/>
      <c r="F85" s="2" t="s">
        <v>19</v>
      </c>
      <c r="G85">
        <v>53</v>
      </c>
      <c r="H85">
        <v>0</v>
      </c>
      <c r="I85">
        <v>55</v>
      </c>
      <c r="J85" s="3">
        <f t="shared" si="15"/>
        <v>53</v>
      </c>
      <c r="K85" s="4">
        <f t="shared" si="16"/>
        <v>96.36363636363636</v>
      </c>
      <c r="L85" s="4">
        <f t="shared" si="17"/>
        <v>96.36363636363636</v>
      </c>
    </row>
    <row r="86" spans="1:15" x14ac:dyDescent="0.2">
      <c r="A86" s="2">
        <v>27</v>
      </c>
      <c r="B86" s="2" t="s">
        <v>15</v>
      </c>
      <c r="C86" s="2" t="s">
        <v>20</v>
      </c>
      <c r="D86" s="4">
        <f>AVERAGE(K86:K88)</f>
        <v>82.079864323157565</v>
      </c>
      <c r="E86" s="4">
        <f>AVERAGE(L86:L88)</f>
        <v>94.264569842738197</v>
      </c>
      <c r="F86" s="2" t="s">
        <v>17</v>
      </c>
      <c r="G86">
        <v>34</v>
      </c>
      <c r="H86">
        <v>6</v>
      </c>
      <c r="I86">
        <v>40</v>
      </c>
      <c r="J86" s="3">
        <f t="shared" si="15"/>
        <v>40</v>
      </c>
      <c r="K86" s="4">
        <f t="shared" si="16"/>
        <v>85</v>
      </c>
      <c r="L86" s="4">
        <f t="shared" si="17"/>
        <v>100</v>
      </c>
      <c r="O86" t="s">
        <v>226</v>
      </c>
    </row>
    <row r="87" spans="1:15" x14ac:dyDescent="0.2">
      <c r="A87" s="2"/>
      <c r="B87" s="2"/>
      <c r="C87" s="2"/>
      <c r="F87" s="2" t="s">
        <v>18</v>
      </c>
      <c r="G87">
        <v>39</v>
      </c>
      <c r="H87">
        <v>4</v>
      </c>
      <c r="I87">
        <v>47</v>
      </c>
      <c r="J87" s="3">
        <f t="shared" si="15"/>
        <v>43</v>
      </c>
      <c r="K87" s="4">
        <f t="shared" si="16"/>
        <v>82.978723404255319</v>
      </c>
      <c r="L87" s="4">
        <f t="shared" si="17"/>
        <v>91.489361702127653</v>
      </c>
    </row>
    <row r="88" spans="1:15" x14ac:dyDescent="0.2">
      <c r="A88" s="2"/>
      <c r="B88" s="2"/>
      <c r="C88" s="2"/>
      <c r="F88" s="2" t="s">
        <v>19</v>
      </c>
      <c r="G88">
        <v>36</v>
      </c>
      <c r="H88">
        <v>6</v>
      </c>
      <c r="I88">
        <v>46</v>
      </c>
      <c r="J88" s="3">
        <f t="shared" si="15"/>
        <v>42</v>
      </c>
      <c r="K88" s="4">
        <f t="shared" si="16"/>
        <v>78.260869565217391</v>
      </c>
      <c r="L88" s="4">
        <f t="shared" si="17"/>
        <v>91.304347826086953</v>
      </c>
      <c r="O88" t="s">
        <v>227</v>
      </c>
    </row>
    <row r="89" spans="1:15" x14ac:dyDescent="0.2">
      <c r="A89" s="2">
        <v>28</v>
      </c>
      <c r="B89" s="2" t="s">
        <v>228</v>
      </c>
      <c r="C89" s="2" t="s">
        <v>16</v>
      </c>
      <c r="D89" s="4">
        <f t="shared" ref="D89:E89" si="22">AVERAGE(K89:K91)</f>
        <v>70.755898584845951</v>
      </c>
      <c r="E89" s="4">
        <f t="shared" si="22"/>
        <v>87.568226120857688</v>
      </c>
      <c r="F89" s="2" t="s">
        <v>17</v>
      </c>
      <c r="G89">
        <v>68</v>
      </c>
      <c r="H89">
        <v>20</v>
      </c>
      <c r="I89">
        <v>99</v>
      </c>
      <c r="J89" s="3">
        <f t="shared" si="15"/>
        <v>88</v>
      </c>
      <c r="K89" s="4">
        <f t="shared" si="16"/>
        <v>68.686868686868678</v>
      </c>
      <c r="L89" s="4">
        <f t="shared" si="17"/>
        <v>88.888888888888886</v>
      </c>
      <c r="M89">
        <v>0</v>
      </c>
      <c r="N89">
        <v>1</v>
      </c>
      <c r="O89" t="s">
        <v>226</v>
      </c>
    </row>
    <row r="90" spans="1:15" x14ac:dyDescent="0.2">
      <c r="A90" s="2"/>
      <c r="B90" s="2"/>
      <c r="C90" s="2"/>
      <c r="F90" s="2" t="s">
        <v>18</v>
      </c>
      <c r="G90">
        <v>83</v>
      </c>
      <c r="H90">
        <v>15</v>
      </c>
      <c r="I90">
        <v>112</v>
      </c>
      <c r="J90" s="3">
        <f t="shared" si="15"/>
        <v>98</v>
      </c>
      <c r="K90" s="4">
        <f t="shared" si="16"/>
        <v>74.107142857142861</v>
      </c>
      <c r="L90" s="4">
        <f t="shared" si="17"/>
        <v>87.5</v>
      </c>
    </row>
    <row r="91" spans="1:15" x14ac:dyDescent="0.2">
      <c r="A91" s="2"/>
      <c r="B91" s="2"/>
      <c r="C91" s="2"/>
      <c r="F91" s="2" t="s">
        <v>19</v>
      </c>
      <c r="G91">
        <v>66</v>
      </c>
      <c r="H91">
        <v>16</v>
      </c>
      <c r="I91">
        <v>95</v>
      </c>
      <c r="J91" s="3">
        <f t="shared" si="15"/>
        <v>82</v>
      </c>
      <c r="K91" s="4">
        <f t="shared" si="16"/>
        <v>69.473684210526315</v>
      </c>
      <c r="L91" s="4">
        <f t="shared" si="17"/>
        <v>86.31578947368422</v>
      </c>
      <c r="M91">
        <v>0</v>
      </c>
      <c r="N91">
        <v>3</v>
      </c>
    </row>
    <row r="92" spans="1:15" x14ac:dyDescent="0.2">
      <c r="A92" s="2">
        <v>29</v>
      </c>
      <c r="B92" s="2" t="s">
        <v>228</v>
      </c>
      <c r="C92" s="2" t="s">
        <v>21</v>
      </c>
      <c r="D92" s="4">
        <f t="shared" ref="D92:E92" si="23">AVERAGE(K92:K94)</f>
        <v>48.137626262626263</v>
      </c>
      <c r="E92" s="4">
        <f t="shared" si="23"/>
        <v>81.824903346129759</v>
      </c>
      <c r="F92" s="2" t="s">
        <v>17</v>
      </c>
      <c r="G92">
        <v>47</v>
      </c>
      <c r="H92">
        <v>32</v>
      </c>
      <c r="I92">
        <v>96</v>
      </c>
      <c r="J92" s="3">
        <f t="shared" si="15"/>
        <v>79</v>
      </c>
      <c r="K92" s="4">
        <f t="shared" si="16"/>
        <v>48.958333333333329</v>
      </c>
      <c r="L92" s="4">
        <f t="shared" si="17"/>
        <v>82.291666666666657</v>
      </c>
      <c r="M92">
        <v>0</v>
      </c>
      <c r="N92">
        <v>2</v>
      </c>
      <c r="O92" t="s">
        <v>229</v>
      </c>
    </row>
    <row r="93" spans="1:15" x14ac:dyDescent="0.2">
      <c r="A93" s="2"/>
      <c r="B93" s="2"/>
      <c r="C93" s="2"/>
      <c r="F93" s="2" t="s">
        <v>18</v>
      </c>
      <c r="G93">
        <v>35</v>
      </c>
      <c r="H93">
        <v>26</v>
      </c>
      <c r="I93">
        <v>77</v>
      </c>
      <c r="J93" s="3">
        <f t="shared" si="15"/>
        <v>61</v>
      </c>
      <c r="K93" s="4">
        <f t="shared" si="16"/>
        <v>45.454545454545453</v>
      </c>
      <c r="L93" s="4">
        <f t="shared" si="17"/>
        <v>79.220779220779221</v>
      </c>
      <c r="M93">
        <v>0</v>
      </c>
      <c r="N93">
        <v>4</v>
      </c>
    </row>
    <row r="94" spans="1:15" x14ac:dyDescent="0.2">
      <c r="A94" s="2"/>
      <c r="B94" s="2"/>
      <c r="C94" s="2"/>
      <c r="F94" s="2" t="s">
        <v>19</v>
      </c>
      <c r="G94">
        <v>53</v>
      </c>
      <c r="H94">
        <v>36</v>
      </c>
      <c r="I94">
        <v>106</v>
      </c>
      <c r="J94" s="3">
        <f t="shared" si="15"/>
        <v>89</v>
      </c>
      <c r="K94" s="4">
        <f t="shared" si="16"/>
        <v>50</v>
      </c>
      <c r="L94" s="4">
        <f t="shared" si="17"/>
        <v>83.962264150943398</v>
      </c>
      <c r="M94">
        <v>0</v>
      </c>
      <c r="N94">
        <v>5</v>
      </c>
    </row>
    <row r="95" spans="1:15" x14ac:dyDescent="0.2">
      <c r="A95" s="2">
        <v>30</v>
      </c>
      <c r="B95" s="2" t="s">
        <v>228</v>
      </c>
      <c r="C95" s="2" t="s">
        <v>230</v>
      </c>
      <c r="D95" s="4">
        <f t="shared" ref="D95:E95" si="24">AVERAGE(K95:K97)</f>
        <v>37.535440794249503</v>
      </c>
      <c r="E95" s="4">
        <f t="shared" si="24"/>
        <v>61.976740909511754</v>
      </c>
      <c r="F95" s="2" t="s">
        <v>17</v>
      </c>
      <c r="G95">
        <v>30</v>
      </c>
      <c r="H95">
        <v>19</v>
      </c>
      <c r="I95">
        <v>73</v>
      </c>
      <c r="J95" s="3">
        <f t="shared" si="15"/>
        <v>49</v>
      </c>
      <c r="K95" s="4">
        <f t="shared" si="16"/>
        <v>41.095890410958901</v>
      </c>
      <c r="L95" s="4">
        <f t="shared" si="17"/>
        <v>67.123287671232873</v>
      </c>
      <c r="M95">
        <v>0</v>
      </c>
      <c r="N95">
        <v>5</v>
      </c>
      <c r="O95" t="s">
        <v>231</v>
      </c>
    </row>
    <row r="96" spans="1:15" x14ac:dyDescent="0.2">
      <c r="A96" s="2"/>
      <c r="B96" s="2"/>
      <c r="C96" s="2"/>
      <c r="F96" s="2" t="s">
        <v>18</v>
      </c>
      <c r="G96">
        <v>30</v>
      </c>
      <c r="H96">
        <v>18</v>
      </c>
      <c r="I96">
        <v>83</v>
      </c>
      <c r="J96" s="3">
        <f t="shared" si="15"/>
        <v>48</v>
      </c>
      <c r="K96" s="4">
        <f t="shared" si="16"/>
        <v>36.144578313253014</v>
      </c>
      <c r="L96" s="4">
        <f t="shared" si="17"/>
        <v>57.831325301204814</v>
      </c>
      <c r="M96">
        <v>0</v>
      </c>
      <c r="N96">
        <v>2</v>
      </c>
    </row>
    <row r="97" spans="1:15" x14ac:dyDescent="0.2">
      <c r="A97" s="2"/>
      <c r="B97" s="2"/>
      <c r="C97" s="2"/>
      <c r="F97" s="2" t="s">
        <v>19</v>
      </c>
      <c r="G97">
        <v>29</v>
      </c>
      <c r="H97">
        <v>21</v>
      </c>
      <c r="I97">
        <v>82</v>
      </c>
      <c r="J97" s="3">
        <f t="shared" si="15"/>
        <v>50</v>
      </c>
      <c r="K97" s="4">
        <f t="shared" si="16"/>
        <v>35.365853658536587</v>
      </c>
      <c r="L97" s="4">
        <f t="shared" si="17"/>
        <v>60.975609756097562</v>
      </c>
      <c r="M97">
        <v>0</v>
      </c>
      <c r="N97">
        <v>4</v>
      </c>
    </row>
    <row r="98" spans="1:15" x14ac:dyDescent="0.2">
      <c r="A98" s="2">
        <v>31</v>
      </c>
      <c r="B98" s="2" t="s">
        <v>232</v>
      </c>
      <c r="C98" s="2" t="s">
        <v>233</v>
      </c>
      <c r="D98" s="4">
        <f t="shared" ref="D98:E98" si="25">AVERAGE(K98:K100)</f>
        <v>57.694235588972425</v>
      </c>
      <c r="E98" s="4">
        <f t="shared" si="25"/>
        <v>63.893065998329156</v>
      </c>
      <c r="F98" s="2" t="s">
        <v>17</v>
      </c>
      <c r="G98">
        <v>6</v>
      </c>
      <c r="H98">
        <v>2</v>
      </c>
      <c r="I98">
        <v>15</v>
      </c>
      <c r="J98" s="3">
        <f t="shared" si="15"/>
        <v>8</v>
      </c>
      <c r="K98" s="4">
        <f t="shared" si="16"/>
        <v>40</v>
      </c>
      <c r="L98" s="4">
        <f t="shared" si="17"/>
        <v>53.333333333333336</v>
      </c>
      <c r="O98" t="s">
        <v>234</v>
      </c>
    </row>
    <row r="99" spans="1:15" x14ac:dyDescent="0.2">
      <c r="A99" s="2"/>
      <c r="B99" s="2"/>
      <c r="C99" s="2"/>
      <c r="F99" s="2" t="s">
        <v>18</v>
      </c>
      <c r="G99">
        <v>9</v>
      </c>
      <c r="H99">
        <v>1</v>
      </c>
      <c r="I99">
        <v>19</v>
      </c>
      <c r="J99" s="3">
        <f t="shared" si="15"/>
        <v>10</v>
      </c>
      <c r="K99" s="4">
        <f t="shared" si="16"/>
        <v>47.368421052631575</v>
      </c>
      <c r="L99" s="4">
        <f t="shared" si="17"/>
        <v>52.631578947368418</v>
      </c>
      <c r="M99">
        <v>0</v>
      </c>
      <c r="N99">
        <v>1</v>
      </c>
      <c r="O99" t="s">
        <v>235</v>
      </c>
    </row>
    <row r="100" spans="1:15" x14ac:dyDescent="0.2">
      <c r="A100" s="2"/>
      <c r="B100" s="2"/>
      <c r="C100" s="2"/>
      <c r="F100" s="2" t="s">
        <v>19</v>
      </c>
      <c r="G100">
        <v>18</v>
      </c>
      <c r="H100">
        <v>0</v>
      </c>
      <c r="I100">
        <v>21</v>
      </c>
      <c r="J100" s="3">
        <f t="shared" si="15"/>
        <v>18</v>
      </c>
      <c r="K100" s="4">
        <f t="shared" si="16"/>
        <v>85.714285714285708</v>
      </c>
      <c r="L100" s="4">
        <f t="shared" si="17"/>
        <v>85.714285714285708</v>
      </c>
      <c r="M100">
        <v>0</v>
      </c>
      <c r="N100">
        <v>2</v>
      </c>
      <c r="O100" t="s">
        <v>236</v>
      </c>
    </row>
    <row r="101" spans="1:15" x14ac:dyDescent="0.2">
      <c r="A101" s="2"/>
      <c r="B101" s="2"/>
      <c r="C101" s="2"/>
      <c r="D101" s="4">
        <f t="shared" ref="D101:E101" si="26">AVERAGE(K101:K103)</f>
        <v>60.773809523809518</v>
      </c>
      <c r="E101" s="4">
        <f t="shared" si="26"/>
        <v>71.329365079365076</v>
      </c>
      <c r="F101" s="2" t="s">
        <v>38</v>
      </c>
      <c r="G101">
        <v>11</v>
      </c>
      <c r="H101">
        <v>0</v>
      </c>
      <c r="I101">
        <v>14</v>
      </c>
      <c r="J101" s="3">
        <f t="shared" si="15"/>
        <v>11</v>
      </c>
      <c r="K101" s="4">
        <f t="shared" si="16"/>
        <v>78.571428571428569</v>
      </c>
      <c r="L101" s="4">
        <f t="shared" si="17"/>
        <v>78.571428571428569</v>
      </c>
      <c r="O101" t="s">
        <v>148</v>
      </c>
    </row>
    <row r="102" spans="1:15" x14ac:dyDescent="0.2">
      <c r="A102" s="2"/>
      <c r="B102" s="2"/>
      <c r="C102" s="2"/>
      <c r="F102" s="2" t="s">
        <v>40</v>
      </c>
      <c r="G102">
        <v>9</v>
      </c>
      <c r="H102">
        <v>1</v>
      </c>
      <c r="I102">
        <v>15</v>
      </c>
      <c r="J102" s="3">
        <f t="shared" si="15"/>
        <v>10</v>
      </c>
      <c r="K102" s="4">
        <f t="shared" si="16"/>
        <v>60</v>
      </c>
      <c r="L102" s="4">
        <f t="shared" si="17"/>
        <v>66.666666666666657</v>
      </c>
    </row>
    <row r="103" spans="1:15" x14ac:dyDescent="0.2">
      <c r="A103" s="2"/>
      <c r="B103" s="2"/>
      <c r="C103" s="2"/>
      <c r="F103" s="2" t="s">
        <v>42</v>
      </c>
      <c r="G103">
        <v>7</v>
      </c>
      <c r="H103">
        <v>4</v>
      </c>
      <c r="I103">
        <v>16</v>
      </c>
      <c r="J103" s="3">
        <f t="shared" si="15"/>
        <v>11</v>
      </c>
      <c r="K103" s="4">
        <f t="shared" si="16"/>
        <v>43.75</v>
      </c>
      <c r="L103" s="4">
        <f t="shared" si="17"/>
        <v>68.75</v>
      </c>
      <c r="M103">
        <v>0</v>
      </c>
      <c r="N103">
        <v>1</v>
      </c>
      <c r="O103" t="s">
        <v>237</v>
      </c>
    </row>
    <row r="104" spans="1:15" x14ac:dyDescent="0.2">
      <c r="A104" s="2">
        <v>32</v>
      </c>
      <c r="B104" s="2" t="s">
        <v>232</v>
      </c>
      <c r="C104" s="2" t="s">
        <v>238</v>
      </c>
      <c r="D104" s="4">
        <f>AVERAGE(K104:K109)</f>
        <v>10.314407814407813</v>
      </c>
      <c r="E104" s="4">
        <f>AVERAGE(L104:L109)</f>
        <v>30.564713064713064</v>
      </c>
      <c r="F104" s="2" t="s">
        <v>17</v>
      </c>
      <c r="G104">
        <v>1</v>
      </c>
      <c r="H104">
        <v>6</v>
      </c>
      <c r="I104">
        <v>15</v>
      </c>
      <c r="J104" s="3">
        <f t="shared" si="15"/>
        <v>7</v>
      </c>
      <c r="K104" s="4">
        <f t="shared" si="16"/>
        <v>6.666666666666667</v>
      </c>
      <c r="L104" s="4">
        <f t="shared" si="17"/>
        <v>46.666666666666664</v>
      </c>
      <c r="O104" t="s">
        <v>239</v>
      </c>
    </row>
    <row r="105" spans="1:15" x14ac:dyDescent="0.2">
      <c r="A105" s="2"/>
      <c r="B105" s="2"/>
      <c r="C105" s="2"/>
      <c r="F105" s="2" t="s">
        <v>18</v>
      </c>
      <c r="G105">
        <v>1</v>
      </c>
      <c r="H105">
        <v>1</v>
      </c>
      <c r="I105">
        <v>14</v>
      </c>
      <c r="J105" s="3">
        <f t="shared" si="15"/>
        <v>2</v>
      </c>
      <c r="K105" s="4">
        <f t="shared" si="16"/>
        <v>7.1428571428571423</v>
      </c>
      <c r="L105" s="4">
        <f t="shared" si="17"/>
        <v>14.285714285714285</v>
      </c>
      <c r="M105">
        <v>0</v>
      </c>
      <c r="N105">
        <v>1</v>
      </c>
    </row>
    <row r="106" spans="1:15" x14ac:dyDescent="0.2">
      <c r="A106" s="2"/>
      <c r="B106" s="2"/>
      <c r="C106" s="2"/>
      <c r="F106" s="2" t="s">
        <v>19</v>
      </c>
      <c r="G106">
        <v>0</v>
      </c>
      <c r="H106">
        <v>3</v>
      </c>
      <c r="I106">
        <v>12</v>
      </c>
      <c r="J106" s="3">
        <f t="shared" si="15"/>
        <v>3</v>
      </c>
      <c r="K106" s="4">
        <f t="shared" si="16"/>
        <v>0</v>
      </c>
      <c r="L106" s="4">
        <f t="shared" si="17"/>
        <v>25</v>
      </c>
      <c r="O106" t="s">
        <v>237</v>
      </c>
    </row>
    <row r="107" spans="1:15" x14ac:dyDescent="0.2">
      <c r="A107" s="2"/>
      <c r="B107" s="2"/>
      <c r="C107" s="2"/>
      <c r="D107" s="4"/>
      <c r="E107" s="4"/>
      <c r="F107" s="2" t="s">
        <v>38</v>
      </c>
      <c r="G107">
        <v>3</v>
      </c>
      <c r="H107">
        <v>1</v>
      </c>
      <c r="I107">
        <v>13</v>
      </c>
      <c r="J107" s="3">
        <f t="shared" si="15"/>
        <v>4</v>
      </c>
      <c r="K107" s="4">
        <f t="shared" si="16"/>
        <v>23.076923076923077</v>
      </c>
      <c r="L107" s="4">
        <f t="shared" si="17"/>
        <v>30.76923076923077</v>
      </c>
      <c r="O107" t="s">
        <v>237</v>
      </c>
    </row>
    <row r="108" spans="1:15" x14ac:dyDescent="0.2">
      <c r="A108" s="2"/>
      <c r="B108" s="2"/>
      <c r="C108" s="2"/>
      <c r="F108" s="2" t="s">
        <v>40</v>
      </c>
      <c r="G108">
        <v>1</v>
      </c>
      <c r="H108">
        <v>4</v>
      </c>
      <c r="I108">
        <v>12</v>
      </c>
      <c r="J108" s="3">
        <f t="shared" si="15"/>
        <v>5</v>
      </c>
      <c r="K108" s="4">
        <f t="shared" si="16"/>
        <v>8.3333333333333321</v>
      </c>
      <c r="L108" s="4">
        <f t="shared" si="17"/>
        <v>41.666666666666671</v>
      </c>
      <c r="O108" t="s">
        <v>240</v>
      </c>
    </row>
    <row r="109" spans="1:15" x14ac:dyDescent="0.2">
      <c r="A109" s="2"/>
      <c r="B109" s="2"/>
      <c r="C109" s="2"/>
      <c r="F109" s="2" t="s">
        <v>42</v>
      </c>
      <c r="G109">
        <v>2</v>
      </c>
      <c r="H109">
        <v>1</v>
      </c>
      <c r="I109">
        <v>12</v>
      </c>
      <c r="J109" s="3">
        <f t="shared" si="15"/>
        <v>3</v>
      </c>
      <c r="K109" s="4">
        <f t="shared" si="16"/>
        <v>16.666666666666664</v>
      </c>
      <c r="L109" s="4">
        <f t="shared" si="17"/>
        <v>25</v>
      </c>
    </row>
    <row r="110" spans="1:15" x14ac:dyDescent="0.2">
      <c r="A110" s="2">
        <v>33</v>
      </c>
      <c r="B110" s="2" t="s">
        <v>28</v>
      </c>
      <c r="C110" s="2" t="s">
        <v>241</v>
      </c>
      <c r="D110" s="4">
        <f>AVERAGE(K110:K112)</f>
        <v>57.596835788325144</v>
      </c>
      <c r="E110" s="4">
        <f>AVERAGE(L110:L112)</f>
        <v>65.561920349154391</v>
      </c>
      <c r="F110" s="2" t="s">
        <v>17</v>
      </c>
      <c r="G110">
        <v>29</v>
      </c>
      <c r="H110">
        <v>8</v>
      </c>
      <c r="I110">
        <v>52</v>
      </c>
      <c r="J110" s="3">
        <f t="shared" si="15"/>
        <v>37</v>
      </c>
      <c r="K110" s="4">
        <f t="shared" si="16"/>
        <v>55.769230769230774</v>
      </c>
      <c r="L110" s="4">
        <f t="shared" si="17"/>
        <v>71.15384615384616</v>
      </c>
      <c r="M110">
        <v>8</v>
      </c>
      <c r="N110">
        <v>0</v>
      </c>
      <c r="O110" t="s">
        <v>242</v>
      </c>
    </row>
    <row r="111" spans="1:15" x14ac:dyDescent="0.2">
      <c r="A111" s="2"/>
      <c r="B111" s="2"/>
      <c r="C111" s="2"/>
      <c r="F111" s="2" t="s">
        <v>18</v>
      </c>
      <c r="G111">
        <v>25</v>
      </c>
      <c r="H111">
        <v>1</v>
      </c>
      <c r="I111">
        <v>47</v>
      </c>
      <c r="J111" s="3">
        <f t="shared" si="15"/>
        <v>26</v>
      </c>
      <c r="K111" s="4">
        <f t="shared" si="16"/>
        <v>53.191489361702125</v>
      </c>
      <c r="L111" s="4">
        <f t="shared" si="17"/>
        <v>55.319148936170215</v>
      </c>
      <c r="M111">
        <v>4</v>
      </c>
      <c r="N111">
        <v>0</v>
      </c>
      <c r="O111" t="s">
        <v>243</v>
      </c>
    </row>
    <row r="112" spans="1:15" x14ac:dyDescent="0.2">
      <c r="A112" s="2"/>
      <c r="B112" s="2"/>
      <c r="C112" s="2"/>
      <c r="F112" s="2" t="s">
        <v>19</v>
      </c>
      <c r="G112">
        <v>30</v>
      </c>
      <c r="H112">
        <v>3</v>
      </c>
      <c r="I112">
        <v>47</v>
      </c>
      <c r="J112" s="3">
        <f t="shared" si="15"/>
        <v>33</v>
      </c>
      <c r="K112" s="4">
        <f t="shared" si="16"/>
        <v>63.829787234042556</v>
      </c>
      <c r="L112" s="4">
        <f t="shared" si="17"/>
        <v>70.212765957446805</v>
      </c>
      <c r="M112">
        <v>6</v>
      </c>
      <c r="N112">
        <v>0</v>
      </c>
    </row>
    <row r="113" spans="1:15" x14ac:dyDescent="0.2">
      <c r="A113" s="2">
        <v>34</v>
      </c>
      <c r="B113" s="2" t="s">
        <v>28</v>
      </c>
      <c r="C113" s="2" t="s">
        <v>244</v>
      </c>
      <c r="D113" s="4">
        <f t="shared" ref="D113:E113" si="27">AVERAGE(K113:K115)</f>
        <v>9.4047619047619051</v>
      </c>
      <c r="E113" s="4">
        <f t="shared" si="27"/>
        <v>43.531746031746025</v>
      </c>
      <c r="F113" s="2" t="s">
        <v>17</v>
      </c>
      <c r="G113">
        <v>3</v>
      </c>
      <c r="H113">
        <v>10</v>
      </c>
      <c r="I113">
        <v>24</v>
      </c>
      <c r="J113" s="3">
        <f t="shared" si="15"/>
        <v>13</v>
      </c>
      <c r="K113" s="4">
        <f t="shared" si="16"/>
        <v>12.5</v>
      </c>
      <c r="L113" s="4">
        <f t="shared" si="17"/>
        <v>54.166666666666664</v>
      </c>
      <c r="M113">
        <v>2</v>
      </c>
      <c r="N113">
        <v>0</v>
      </c>
    </row>
    <row r="114" spans="1:15" x14ac:dyDescent="0.2">
      <c r="A114" s="2"/>
      <c r="B114" s="2"/>
      <c r="C114" s="2"/>
      <c r="F114" s="2" t="s">
        <v>18</v>
      </c>
      <c r="G114">
        <v>1</v>
      </c>
      <c r="H114">
        <v>5</v>
      </c>
      <c r="I114">
        <v>20</v>
      </c>
      <c r="J114" s="3">
        <f t="shared" si="15"/>
        <v>6</v>
      </c>
      <c r="K114" s="4">
        <f t="shared" si="16"/>
        <v>5</v>
      </c>
      <c r="L114" s="4">
        <f t="shared" si="17"/>
        <v>30</v>
      </c>
      <c r="M114">
        <v>6</v>
      </c>
      <c r="N114">
        <v>0</v>
      </c>
    </row>
    <row r="115" spans="1:15" x14ac:dyDescent="0.2">
      <c r="A115" s="2"/>
      <c r="B115" s="2"/>
      <c r="C115" s="2"/>
      <c r="F115" s="2" t="s">
        <v>19</v>
      </c>
      <c r="G115">
        <v>3</v>
      </c>
      <c r="H115">
        <v>10</v>
      </c>
      <c r="I115">
        <v>28</v>
      </c>
      <c r="J115" s="3">
        <f t="shared" si="15"/>
        <v>13</v>
      </c>
      <c r="K115" s="4">
        <f t="shared" si="16"/>
        <v>10.714285714285714</v>
      </c>
      <c r="L115" s="4">
        <f t="shared" si="17"/>
        <v>46.428571428571431</v>
      </c>
      <c r="M115">
        <v>5</v>
      </c>
      <c r="N115">
        <v>0</v>
      </c>
    </row>
    <row r="116" spans="1:15" x14ac:dyDescent="0.2">
      <c r="A116" s="2">
        <v>35</v>
      </c>
      <c r="B116" s="2" t="s">
        <v>96</v>
      </c>
      <c r="C116" s="2" t="s">
        <v>244</v>
      </c>
      <c r="D116" s="4">
        <f t="shared" ref="D116:E116" si="28">AVERAGE(K116:K118)</f>
        <v>79.415182417406285</v>
      </c>
      <c r="E116" s="4">
        <f t="shared" si="28"/>
        <v>91.379066241927603</v>
      </c>
      <c r="F116" s="2" t="s">
        <v>17</v>
      </c>
      <c r="G116">
        <v>80</v>
      </c>
      <c r="H116">
        <v>9</v>
      </c>
      <c r="I116">
        <v>95</v>
      </c>
      <c r="J116" s="3">
        <f t="shared" si="15"/>
        <v>89</v>
      </c>
      <c r="K116" s="4">
        <f t="shared" si="16"/>
        <v>84.210526315789465</v>
      </c>
      <c r="L116" s="4">
        <f t="shared" si="17"/>
        <v>93.684210526315795</v>
      </c>
      <c r="O116" t="s">
        <v>245</v>
      </c>
    </row>
    <row r="117" spans="1:15" x14ac:dyDescent="0.2">
      <c r="A117" s="2"/>
      <c r="B117" s="2"/>
      <c r="C117" s="2"/>
      <c r="F117" s="2" t="s">
        <v>18</v>
      </c>
      <c r="G117">
        <v>65</v>
      </c>
      <c r="H117">
        <v>6</v>
      </c>
      <c r="I117">
        <v>74</v>
      </c>
      <c r="J117" s="3">
        <f t="shared" si="15"/>
        <v>71</v>
      </c>
      <c r="K117" s="4">
        <f t="shared" si="16"/>
        <v>87.837837837837839</v>
      </c>
      <c r="L117" s="4">
        <f t="shared" si="17"/>
        <v>95.945945945945937</v>
      </c>
      <c r="M117">
        <v>0</v>
      </c>
      <c r="N117">
        <v>1</v>
      </c>
    </row>
    <row r="118" spans="1:15" x14ac:dyDescent="0.2">
      <c r="A118" s="2"/>
      <c r="B118" s="2"/>
      <c r="C118" s="2"/>
      <c r="F118" s="2" t="s">
        <v>19</v>
      </c>
      <c r="G118">
        <v>47</v>
      </c>
      <c r="H118">
        <v>13</v>
      </c>
      <c r="I118">
        <v>71</v>
      </c>
      <c r="J118" s="3">
        <f t="shared" si="15"/>
        <v>60</v>
      </c>
      <c r="K118" s="4">
        <f t="shared" si="16"/>
        <v>66.197183098591552</v>
      </c>
      <c r="L118" s="4">
        <f t="shared" si="17"/>
        <v>84.507042253521121</v>
      </c>
    </row>
    <row r="119" spans="1:15" x14ac:dyDescent="0.2">
      <c r="A119" s="2">
        <v>36</v>
      </c>
      <c r="B119" s="2" t="s">
        <v>96</v>
      </c>
      <c r="C119" s="2" t="s">
        <v>241</v>
      </c>
      <c r="D119" s="4">
        <f t="shared" ref="D119:E119" si="29">AVERAGE(K119:K121)</f>
        <v>76.137554202070319</v>
      </c>
      <c r="E119" s="4">
        <f t="shared" si="29"/>
        <v>84.957766248088831</v>
      </c>
      <c r="F119" s="2" t="s">
        <v>17</v>
      </c>
      <c r="G119">
        <v>51</v>
      </c>
      <c r="H119">
        <v>5</v>
      </c>
      <c r="I119">
        <v>65</v>
      </c>
      <c r="J119" s="3">
        <f t="shared" si="15"/>
        <v>56</v>
      </c>
      <c r="K119" s="4">
        <f t="shared" si="16"/>
        <v>78.461538461538467</v>
      </c>
      <c r="L119" s="4">
        <f t="shared" si="17"/>
        <v>86.15384615384616</v>
      </c>
      <c r="O119" t="s">
        <v>148</v>
      </c>
    </row>
    <row r="120" spans="1:15" x14ac:dyDescent="0.2">
      <c r="A120" s="2"/>
      <c r="B120" s="2"/>
      <c r="C120" s="2"/>
      <c r="F120" s="2" t="s">
        <v>18</v>
      </c>
      <c r="G120">
        <v>46</v>
      </c>
      <c r="H120">
        <v>6</v>
      </c>
      <c r="I120">
        <v>62</v>
      </c>
      <c r="J120" s="3">
        <f t="shared" si="15"/>
        <v>52</v>
      </c>
      <c r="K120" s="4">
        <f t="shared" si="16"/>
        <v>74.193548387096769</v>
      </c>
      <c r="L120" s="4">
        <f t="shared" si="17"/>
        <v>83.870967741935488</v>
      </c>
      <c r="M120">
        <v>0</v>
      </c>
      <c r="N120">
        <v>1</v>
      </c>
    </row>
    <row r="121" spans="1:15" x14ac:dyDescent="0.2">
      <c r="A121" s="2"/>
      <c r="B121" s="2"/>
      <c r="C121" s="2"/>
      <c r="F121" s="2" t="s">
        <v>19</v>
      </c>
      <c r="G121">
        <v>50</v>
      </c>
      <c r="H121">
        <v>6</v>
      </c>
      <c r="I121">
        <v>66</v>
      </c>
      <c r="J121" s="3">
        <f t="shared" si="15"/>
        <v>56</v>
      </c>
      <c r="K121" s="4">
        <f t="shared" si="16"/>
        <v>75.757575757575751</v>
      </c>
      <c r="L121" s="4">
        <f t="shared" si="17"/>
        <v>84.848484848484844</v>
      </c>
      <c r="M121">
        <v>0</v>
      </c>
      <c r="N121">
        <v>1</v>
      </c>
    </row>
    <row r="122" spans="1:15" x14ac:dyDescent="0.2">
      <c r="A122" s="2">
        <v>37</v>
      </c>
      <c r="B122" s="2" t="s">
        <v>102</v>
      </c>
      <c r="C122" s="2" t="s">
        <v>20</v>
      </c>
      <c r="D122" s="4">
        <f>AVERAGE(K122:K124)</f>
        <v>85.675015526461678</v>
      </c>
      <c r="E122" s="4">
        <f t="shared" ref="E122" si="30">AVERAGE(L122:L124)</f>
        <v>90.250632520955506</v>
      </c>
      <c r="F122" s="2" t="s">
        <v>17</v>
      </c>
      <c r="G122">
        <v>62</v>
      </c>
      <c r="H122">
        <v>2</v>
      </c>
      <c r="I122">
        <v>69</v>
      </c>
      <c r="J122" s="3">
        <f t="shared" si="15"/>
        <v>64</v>
      </c>
      <c r="K122" s="4">
        <f t="shared" si="16"/>
        <v>89.85507246376811</v>
      </c>
      <c r="L122" s="4">
        <f t="shared" si="17"/>
        <v>92.753623188405797</v>
      </c>
      <c r="O122" t="s">
        <v>246</v>
      </c>
    </row>
    <row r="123" spans="1:15" x14ac:dyDescent="0.2">
      <c r="A123" s="2"/>
      <c r="B123" s="2"/>
      <c r="C123" s="2"/>
      <c r="F123" s="2" t="s">
        <v>18</v>
      </c>
      <c r="G123">
        <v>49</v>
      </c>
      <c r="H123">
        <v>5</v>
      </c>
      <c r="I123">
        <v>61</v>
      </c>
      <c r="J123" s="3">
        <f t="shared" si="15"/>
        <v>54</v>
      </c>
      <c r="K123" s="4">
        <f t="shared" si="16"/>
        <v>80.327868852459019</v>
      </c>
      <c r="L123" s="4">
        <f t="shared" si="17"/>
        <v>88.52459016393442</v>
      </c>
      <c r="M123">
        <v>0</v>
      </c>
      <c r="N123">
        <v>1</v>
      </c>
    </row>
    <row r="124" spans="1:15" x14ac:dyDescent="0.2">
      <c r="A124" s="2"/>
      <c r="B124" s="2"/>
      <c r="C124" s="2"/>
      <c r="F124" s="2" t="s">
        <v>19</v>
      </c>
      <c r="G124">
        <v>66</v>
      </c>
      <c r="H124">
        <v>2</v>
      </c>
      <c r="I124">
        <v>76</v>
      </c>
      <c r="J124" s="3">
        <f t="shared" si="15"/>
        <v>68</v>
      </c>
      <c r="K124" s="4">
        <f t="shared" si="16"/>
        <v>86.842105263157904</v>
      </c>
      <c r="L124" s="4">
        <f t="shared" si="17"/>
        <v>89.473684210526315</v>
      </c>
    </row>
    <row r="125" spans="1:15" x14ac:dyDescent="0.2">
      <c r="A125" s="2">
        <v>38</v>
      </c>
      <c r="B125" s="2" t="s">
        <v>102</v>
      </c>
      <c r="C125" s="2" t="s">
        <v>238</v>
      </c>
      <c r="D125" s="4">
        <f t="shared" ref="D125:E125" si="31">AVERAGE(K125:K127)</f>
        <v>83.634437003863255</v>
      </c>
      <c r="E125" s="4">
        <f t="shared" si="31"/>
        <v>86.939663565327081</v>
      </c>
      <c r="F125" s="2" t="s">
        <v>17</v>
      </c>
      <c r="G125">
        <v>72</v>
      </c>
      <c r="H125">
        <v>2</v>
      </c>
      <c r="I125">
        <v>86</v>
      </c>
      <c r="J125" s="3">
        <f t="shared" si="15"/>
        <v>74</v>
      </c>
      <c r="K125" s="4">
        <f t="shared" si="16"/>
        <v>83.720930232558146</v>
      </c>
      <c r="L125" s="4">
        <f t="shared" si="17"/>
        <v>86.04651162790698</v>
      </c>
      <c r="M125">
        <v>0</v>
      </c>
      <c r="N125">
        <v>1</v>
      </c>
    </row>
    <row r="126" spans="1:15" x14ac:dyDescent="0.2">
      <c r="A126" s="2"/>
      <c r="B126" s="2"/>
      <c r="C126" s="2"/>
      <c r="F126" s="2" t="s">
        <v>18</v>
      </c>
      <c r="G126">
        <v>54</v>
      </c>
      <c r="H126">
        <v>1</v>
      </c>
      <c r="I126">
        <v>67</v>
      </c>
      <c r="J126" s="3">
        <f t="shared" si="15"/>
        <v>55</v>
      </c>
      <c r="K126" s="4">
        <f t="shared" si="16"/>
        <v>80.597014925373131</v>
      </c>
      <c r="L126" s="4">
        <f t="shared" si="17"/>
        <v>82.089552238805979</v>
      </c>
      <c r="M126">
        <v>0</v>
      </c>
      <c r="N126">
        <v>4</v>
      </c>
    </row>
    <row r="127" spans="1:15" x14ac:dyDescent="0.2">
      <c r="A127" s="2"/>
      <c r="B127" s="2"/>
      <c r="C127" s="2"/>
      <c r="F127" s="2" t="s">
        <v>19</v>
      </c>
      <c r="G127">
        <v>71</v>
      </c>
      <c r="H127">
        <v>5</v>
      </c>
      <c r="I127">
        <v>82</v>
      </c>
      <c r="J127" s="3">
        <f t="shared" si="15"/>
        <v>76</v>
      </c>
      <c r="K127" s="4">
        <f t="shared" si="16"/>
        <v>86.58536585365853</v>
      </c>
      <c r="L127" s="4">
        <f t="shared" si="17"/>
        <v>92.682926829268297</v>
      </c>
      <c r="M127">
        <v>0</v>
      </c>
      <c r="N127">
        <v>1</v>
      </c>
    </row>
    <row r="128" spans="1:15" x14ac:dyDescent="0.2">
      <c r="A128" s="2">
        <v>39</v>
      </c>
      <c r="B128" s="2" t="s">
        <v>102</v>
      </c>
      <c r="C128" s="2" t="s">
        <v>233</v>
      </c>
      <c r="D128" s="4">
        <f t="shared" ref="D128:E128" si="32">AVERAGE(K128:K130)</f>
        <v>66.471030528502652</v>
      </c>
      <c r="E128" s="4">
        <f t="shared" si="32"/>
        <v>80.930109078728407</v>
      </c>
      <c r="F128" s="2" t="s">
        <v>17</v>
      </c>
      <c r="G128">
        <v>56</v>
      </c>
      <c r="H128">
        <v>11</v>
      </c>
      <c r="I128">
        <v>83</v>
      </c>
      <c r="J128" s="3">
        <f t="shared" si="15"/>
        <v>67</v>
      </c>
      <c r="K128" s="4">
        <f t="shared" si="16"/>
        <v>67.46987951807229</v>
      </c>
      <c r="L128" s="4">
        <f t="shared" si="17"/>
        <v>80.722891566265062</v>
      </c>
      <c r="O128" t="s">
        <v>148</v>
      </c>
    </row>
    <row r="129" spans="1:15" x14ac:dyDescent="0.2">
      <c r="A129" s="2"/>
      <c r="B129" s="2"/>
      <c r="C129" s="2"/>
      <c r="F129" s="2" t="s">
        <v>18</v>
      </c>
      <c r="G129">
        <v>59</v>
      </c>
      <c r="H129">
        <v>21</v>
      </c>
      <c r="I129">
        <v>98</v>
      </c>
      <c r="J129" s="3">
        <f t="shared" si="15"/>
        <v>80</v>
      </c>
      <c r="K129" s="4">
        <f t="shared" si="16"/>
        <v>60.204081632653065</v>
      </c>
      <c r="L129" s="4">
        <f t="shared" si="17"/>
        <v>81.632653061224488</v>
      </c>
      <c r="M129">
        <v>0</v>
      </c>
      <c r="N129">
        <v>2</v>
      </c>
    </row>
    <row r="130" spans="1:15" x14ac:dyDescent="0.2">
      <c r="A130" s="2"/>
      <c r="B130" s="2"/>
      <c r="C130" s="2"/>
      <c r="F130" s="2" t="s">
        <v>19</v>
      </c>
      <c r="G130">
        <v>66</v>
      </c>
      <c r="H130">
        <v>8</v>
      </c>
      <c r="I130">
        <v>92</v>
      </c>
      <c r="J130" s="3">
        <f t="shared" si="15"/>
        <v>74</v>
      </c>
      <c r="K130" s="4">
        <f t="shared" si="16"/>
        <v>71.739130434782609</v>
      </c>
      <c r="L130" s="4">
        <f t="shared" si="17"/>
        <v>80.434782608695656</v>
      </c>
    </row>
    <row r="131" spans="1:15" x14ac:dyDescent="0.2">
      <c r="A131" s="2">
        <v>40</v>
      </c>
      <c r="B131" s="2" t="s">
        <v>108</v>
      </c>
      <c r="C131" s="2" t="s">
        <v>230</v>
      </c>
      <c r="D131" s="4">
        <f t="shared" ref="D131:E131" si="33">AVERAGE(K131:K133)</f>
        <v>70.465928663058421</v>
      </c>
      <c r="E131" s="4">
        <f t="shared" si="33"/>
        <v>83.258118976675874</v>
      </c>
      <c r="F131" s="2" t="s">
        <v>17</v>
      </c>
      <c r="G131">
        <v>126</v>
      </c>
      <c r="H131">
        <v>20</v>
      </c>
      <c r="I131">
        <v>174</v>
      </c>
      <c r="J131" s="3">
        <f t="shared" si="15"/>
        <v>146</v>
      </c>
      <c r="K131" s="4">
        <f t="shared" si="16"/>
        <v>72.41379310344827</v>
      </c>
      <c r="L131" s="4">
        <f t="shared" si="17"/>
        <v>83.908045977011497</v>
      </c>
      <c r="M131">
        <v>0</v>
      </c>
      <c r="N131">
        <v>2</v>
      </c>
      <c r="O131" t="s">
        <v>185</v>
      </c>
    </row>
    <row r="132" spans="1:15" x14ac:dyDescent="0.2">
      <c r="A132" s="2"/>
      <c r="B132" s="2"/>
      <c r="C132" s="2"/>
      <c r="F132" s="2" t="s">
        <v>18</v>
      </c>
      <c r="G132">
        <v>124</v>
      </c>
      <c r="H132">
        <v>21</v>
      </c>
      <c r="I132">
        <v>173</v>
      </c>
      <c r="J132" s="3">
        <f t="shared" si="15"/>
        <v>145</v>
      </c>
      <c r="K132" s="4">
        <f t="shared" si="16"/>
        <v>71.676300578034684</v>
      </c>
      <c r="L132" s="4">
        <f t="shared" si="17"/>
        <v>83.815028901734095</v>
      </c>
    </row>
    <row r="133" spans="1:15" x14ac:dyDescent="0.2">
      <c r="A133" s="2"/>
      <c r="B133" s="2"/>
      <c r="C133" s="2"/>
      <c r="F133" s="2" t="s">
        <v>19</v>
      </c>
      <c r="G133">
        <v>105</v>
      </c>
      <c r="H133">
        <v>23</v>
      </c>
      <c r="I133">
        <v>156</v>
      </c>
      <c r="J133" s="3">
        <f t="shared" si="15"/>
        <v>128</v>
      </c>
      <c r="K133" s="4">
        <f t="shared" si="16"/>
        <v>67.307692307692307</v>
      </c>
      <c r="L133" s="4">
        <f t="shared" si="17"/>
        <v>82.051282051282044</v>
      </c>
      <c r="M133">
        <v>0</v>
      </c>
      <c r="N133">
        <v>1</v>
      </c>
    </row>
    <row r="134" spans="1:15" x14ac:dyDescent="0.2">
      <c r="A134" s="2">
        <v>41</v>
      </c>
      <c r="B134" s="2" t="s">
        <v>108</v>
      </c>
      <c r="C134" s="2" t="s">
        <v>21</v>
      </c>
      <c r="D134" s="4">
        <f t="shared" ref="D134:E134" si="34">AVERAGE(K134:K136)</f>
        <v>64.872169022647824</v>
      </c>
      <c r="E134" s="4">
        <f t="shared" si="34"/>
        <v>86.256725946192432</v>
      </c>
      <c r="F134" s="2" t="s">
        <v>17</v>
      </c>
      <c r="G134">
        <v>67</v>
      </c>
      <c r="H134">
        <v>23</v>
      </c>
      <c r="I134">
        <v>102</v>
      </c>
      <c r="J134" s="3">
        <f t="shared" si="15"/>
        <v>90</v>
      </c>
      <c r="K134" s="4">
        <f t="shared" si="16"/>
        <v>65.686274509803923</v>
      </c>
      <c r="L134" s="4">
        <f t="shared" si="17"/>
        <v>88.235294117647058</v>
      </c>
      <c r="O134" t="s">
        <v>247</v>
      </c>
    </row>
    <row r="135" spans="1:15" x14ac:dyDescent="0.2">
      <c r="A135" s="2"/>
      <c r="B135" s="2"/>
      <c r="C135" s="2"/>
      <c r="F135" s="2" t="s">
        <v>18</v>
      </c>
      <c r="G135">
        <v>61</v>
      </c>
      <c r="H135">
        <v>16</v>
      </c>
      <c r="I135">
        <v>86</v>
      </c>
      <c r="J135" s="3">
        <f t="shared" si="15"/>
        <v>77</v>
      </c>
      <c r="K135" s="4">
        <f t="shared" si="16"/>
        <v>70.930232558139537</v>
      </c>
      <c r="L135" s="4">
        <f t="shared" si="17"/>
        <v>89.534883720930239</v>
      </c>
    </row>
    <row r="136" spans="1:15" x14ac:dyDescent="0.2">
      <c r="A136" s="2"/>
      <c r="B136" s="2"/>
      <c r="C136" s="2"/>
      <c r="F136" s="2" t="s">
        <v>19</v>
      </c>
      <c r="G136">
        <v>58</v>
      </c>
      <c r="H136">
        <v>23</v>
      </c>
      <c r="I136">
        <v>100</v>
      </c>
      <c r="J136" s="3">
        <f t="shared" si="15"/>
        <v>81</v>
      </c>
      <c r="K136" s="4">
        <f t="shared" si="16"/>
        <v>57.999999999999993</v>
      </c>
      <c r="L136" s="4">
        <f t="shared" si="17"/>
        <v>81</v>
      </c>
    </row>
    <row r="137" spans="1:15" x14ac:dyDescent="0.2">
      <c r="A137" s="2">
        <v>42</v>
      </c>
      <c r="B137" s="2" t="s">
        <v>108</v>
      </c>
      <c r="C137" s="2" t="s">
        <v>16</v>
      </c>
      <c r="D137" s="4">
        <f t="shared" ref="D137" si="35">AVERAGE(K137:K139)</f>
        <v>56.557311621966797</v>
      </c>
      <c r="E137" s="4">
        <f>AVERAGE(L137:L139)</f>
        <v>79.644263516389955</v>
      </c>
      <c r="F137" s="2" t="s">
        <v>17</v>
      </c>
      <c r="G137">
        <v>60</v>
      </c>
      <c r="H137">
        <v>26</v>
      </c>
      <c r="I137">
        <v>108</v>
      </c>
      <c r="J137" s="3">
        <f t="shared" si="15"/>
        <v>86</v>
      </c>
      <c r="K137" s="4">
        <f t="shared" si="16"/>
        <v>55.555555555555557</v>
      </c>
      <c r="L137" s="4">
        <f t="shared" si="17"/>
        <v>79.629629629629633</v>
      </c>
      <c r="M137">
        <v>0</v>
      </c>
      <c r="N137">
        <v>2</v>
      </c>
      <c r="O137" t="s">
        <v>248</v>
      </c>
    </row>
    <row r="138" spans="1:15" x14ac:dyDescent="0.2">
      <c r="A138" s="2"/>
      <c r="B138" s="2"/>
      <c r="C138" s="2"/>
      <c r="F138" s="2" t="s">
        <v>18</v>
      </c>
      <c r="G138">
        <v>44</v>
      </c>
      <c r="H138">
        <v>23</v>
      </c>
      <c r="I138">
        <v>87</v>
      </c>
      <c r="J138" s="3">
        <f t="shared" si="15"/>
        <v>67</v>
      </c>
      <c r="K138" s="4">
        <f t="shared" si="16"/>
        <v>50.574712643678168</v>
      </c>
      <c r="L138" s="4">
        <f t="shared" si="17"/>
        <v>77.011494252873561</v>
      </c>
      <c r="M138">
        <v>0</v>
      </c>
      <c r="N138">
        <v>1</v>
      </c>
      <c r="O138" t="s">
        <v>249</v>
      </c>
    </row>
    <row r="139" spans="1:15" x14ac:dyDescent="0.2">
      <c r="A139" s="2"/>
      <c r="B139" s="2"/>
      <c r="C139" s="2"/>
      <c r="F139" s="2" t="s">
        <v>19</v>
      </c>
      <c r="G139">
        <v>61</v>
      </c>
      <c r="H139">
        <v>18</v>
      </c>
      <c r="I139">
        <v>96</v>
      </c>
      <c r="J139" s="3">
        <f t="shared" si="15"/>
        <v>79</v>
      </c>
      <c r="K139" s="4">
        <f t="shared" si="16"/>
        <v>63.541666666666664</v>
      </c>
      <c r="L139" s="4">
        <f t="shared" si="17"/>
        <v>82.291666666666657</v>
      </c>
      <c r="M139">
        <v>0</v>
      </c>
      <c r="N139">
        <v>2</v>
      </c>
    </row>
    <row r="140" spans="1:15" x14ac:dyDescent="0.2">
      <c r="A140" s="2">
        <v>43</v>
      </c>
      <c r="B140" s="2" t="s">
        <v>138</v>
      </c>
      <c r="C140" s="2" t="s">
        <v>225</v>
      </c>
      <c r="D140" s="4">
        <f t="shared" ref="D140:E140" si="36">AVERAGE(K140:K142)</f>
        <v>18.872611573341501</v>
      </c>
      <c r="E140" s="4">
        <f t="shared" si="36"/>
        <v>25.552549640140882</v>
      </c>
      <c r="F140" s="2" t="s">
        <v>17</v>
      </c>
      <c r="G140">
        <v>26</v>
      </c>
      <c r="H140">
        <v>6</v>
      </c>
      <c r="I140">
        <v>143</v>
      </c>
      <c r="J140" s="3">
        <f t="shared" si="15"/>
        <v>32</v>
      </c>
      <c r="K140" s="4">
        <f t="shared" si="16"/>
        <v>18.181818181818183</v>
      </c>
      <c r="L140" s="4">
        <f t="shared" si="17"/>
        <v>22.377622377622377</v>
      </c>
      <c r="M140">
        <v>0</v>
      </c>
      <c r="N140">
        <v>3</v>
      </c>
      <c r="O140" t="s">
        <v>250</v>
      </c>
    </row>
    <row r="141" spans="1:15" x14ac:dyDescent="0.2">
      <c r="A141" s="2"/>
      <c r="B141" s="2"/>
      <c r="C141" s="2"/>
      <c r="F141" s="2" t="s">
        <v>18</v>
      </c>
      <c r="G141">
        <v>32</v>
      </c>
      <c r="H141">
        <v>7</v>
      </c>
      <c r="I141">
        <v>143</v>
      </c>
      <c r="J141" s="3">
        <f t="shared" si="15"/>
        <v>39</v>
      </c>
      <c r="K141" s="4">
        <f t="shared" si="16"/>
        <v>22.377622377622377</v>
      </c>
      <c r="L141" s="4">
        <f t="shared" si="17"/>
        <v>27.27272727272727</v>
      </c>
      <c r="M141">
        <v>0</v>
      </c>
      <c r="N141">
        <v>3</v>
      </c>
    </row>
    <row r="142" spans="1:15" x14ac:dyDescent="0.2">
      <c r="A142" s="2"/>
      <c r="B142" s="2"/>
      <c r="C142" s="2"/>
      <c r="F142" s="2" t="s">
        <v>19</v>
      </c>
      <c r="G142">
        <v>22</v>
      </c>
      <c r="H142">
        <v>15</v>
      </c>
      <c r="I142">
        <v>137</v>
      </c>
      <c r="J142" s="3">
        <f t="shared" si="15"/>
        <v>37</v>
      </c>
      <c r="K142" s="4">
        <f t="shared" si="16"/>
        <v>16.058394160583941</v>
      </c>
      <c r="L142" s="4">
        <f t="shared" si="17"/>
        <v>27.007299270072991</v>
      </c>
      <c r="M142">
        <v>0</v>
      </c>
      <c r="N142">
        <v>5</v>
      </c>
      <c r="O142" t="s">
        <v>251</v>
      </c>
    </row>
    <row r="143" spans="1:15" x14ac:dyDescent="0.2">
      <c r="A143" s="2">
        <v>44</v>
      </c>
      <c r="B143" s="2" t="s">
        <v>138</v>
      </c>
      <c r="C143" s="2" t="s">
        <v>223</v>
      </c>
      <c r="D143" s="4">
        <f t="shared" ref="D143" si="37">AVERAGE(K143:K145)</f>
        <v>19.011450714036922</v>
      </c>
      <c r="E143" s="4">
        <f>AVERAGE(L143:L145)</f>
        <v>24.6836903517938</v>
      </c>
      <c r="F143" s="2" t="s">
        <v>17</v>
      </c>
      <c r="G143">
        <v>31</v>
      </c>
      <c r="H143">
        <v>8</v>
      </c>
      <c r="I143">
        <v>160</v>
      </c>
      <c r="J143" s="3">
        <f t="shared" ref="J143:J157" si="38">SUM(G143:H143)</f>
        <v>39</v>
      </c>
      <c r="K143" s="4">
        <f t="shared" ref="K143:K157" si="39">G143/I143*100</f>
        <v>19.375</v>
      </c>
      <c r="L143" s="4">
        <f t="shared" ref="L143:L157" si="40">J143/I143*100</f>
        <v>24.375</v>
      </c>
      <c r="M143">
        <v>0</v>
      </c>
      <c r="N143">
        <v>3</v>
      </c>
    </row>
    <row r="144" spans="1:15" x14ac:dyDescent="0.2">
      <c r="A144" s="2"/>
      <c r="B144" s="2"/>
      <c r="C144" s="2"/>
      <c r="F144" s="2" t="s">
        <v>18</v>
      </c>
      <c r="G144">
        <v>30</v>
      </c>
      <c r="H144">
        <v>6</v>
      </c>
      <c r="I144">
        <v>145</v>
      </c>
      <c r="J144" s="3">
        <f t="shared" si="38"/>
        <v>36</v>
      </c>
      <c r="K144" s="4">
        <f t="shared" si="39"/>
        <v>20.689655172413794</v>
      </c>
      <c r="L144" s="4">
        <f t="shared" si="40"/>
        <v>24.827586206896552</v>
      </c>
      <c r="M144">
        <v>0</v>
      </c>
      <c r="N144">
        <v>4</v>
      </c>
    </row>
    <row r="145" spans="1:15" x14ac:dyDescent="0.2">
      <c r="A145" s="2"/>
      <c r="B145" s="2"/>
      <c r="C145" s="2"/>
      <c r="F145" s="2" t="s">
        <v>19</v>
      </c>
      <c r="G145">
        <v>28</v>
      </c>
      <c r="H145">
        <v>13</v>
      </c>
      <c r="I145">
        <v>165</v>
      </c>
      <c r="J145" s="3">
        <f t="shared" si="38"/>
        <v>41</v>
      </c>
      <c r="K145" s="4">
        <f t="shared" si="39"/>
        <v>16.969696969696972</v>
      </c>
      <c r="L145" s="4">
        <f t="shared" si="40"/>
        <v>24.848484848484848</v>
      </c>
      <c r="M145">
        <v>0</v>
      </c>
      <c r="N145">
        <v>11</v>
      </c>
    </row>
    <row r="146" spans="1:15" x14ac:dyDescent="0.2">
      <c r="A146" s="2">
        <v>45</v>
      </c>
      <c r="B146" s="2" t="s">
        <v>138</v>
      </c>
      <c r="C146" s="2" t="s">
        <v>233</v>
      </c>
      <c r="D146" s="4">
        <f t="shared" ref="D146:E146" si="41">AVERAGE(K146:K148)</f>
        <v>13.535645716508926</v>
      </c>
      <c r="E146" s="4">
        <f t="shared" si="41"/>
        <v>21.949427542789802</v>
      </c>
      <c r="F146" s="2" t="s">
        <v>17</v>
      </c>
      <c r="G146">
        <v>17</v>
      </c>
      <c r="H146">
        <v>11</v>
      </c>
      <c r="I146">
        <v>151</v>
      </c>
      <c r="J146" s="3">
        <f t="shared" si="38"/>
        <v>28</v>
      </c>
      <c r="K146" s="4">
        <f t="shared" si="39"/>
        <v>11.258278145695364</v>
      </c>
      <c r="L146" s="4">
        <f t="shared" si="40"/>
        <v>18.543046357615893</v>
      </c>
      <c r="M146">
        <v>0</v>
      </c>
      <c r="N146">
        <v>5</v>
      </c>
      <c r="O146" t="s">
        <v>252</v>
      </c>
    </row>
    <row r="147" spans="1:15" x14ac:dyDescent="0.2">
      <c r="A147" s="2"/>
      <c r="B147" s="2"/>
      <c r="C147" s="2"/>
      <c r="F147" s="2" t="s">
        <v>18</v>
      </c>
      <c r="G147">
        <v>20</v>
      </c>
      <c r="H147">
        <v>11</v>
      </c>
      <c r="I147">
        <v>145</v>
      </c>
      <c r="J147" s="3">
        <f t="shared" si="38"/>
        <v>31</v>
      </c>
      <c r="K147" s="4">
        <f t="shared" si="39"/>
        <v>13.793103448275861</v>
      </c>
      <c r="L147" s="4">
        <f t="shared" si="40"/>
        <v>21.379310344827587</v>
      </c>
      <c r="M147">
        <v>0</v>
      </c>
      <c r="N147">
        <v>1</v>
      </c>
    </row>
    <row r="148" spans="1:15" x14ac:dyDescent="0.2">
      <c r="A148" s="2"/>
      <c r="B148" s="2"/>
      <c r="C148" s="2"/>
      <c r="F148" s="2" t="s">
        <v>19</v>
      </c>
      <c r="G148">
        <v>21</v>
      </c>
      <c r="H148">
        <v>14</v>
      </c>
      <c r="I148">
        <v>135</v>
      </c>
      <c r="J148" s="3">
        <f t="shared" si="38"/>
        <v>35</v>
      </c>
      <c r="K148" s="4">
        <f t="shared" si="39"/>
        <v>15.555555555555555</v>
      </c>
      <c r="L148" s="4">
        <f t="shared" si="40"/>
        <v>25.925925925925924</v>
      </c>
      <c r="M148">
        <v>0</v>
      </c>
      <c r="N148">
        <v>1</v>
      </c>
    </row>
    <row r="149" spans="1:15" x14ac:dyDescent="0.2">
      <c r="A149" s="2">
        <v>46</v>
      </c>
      <c r="B149" s="2" t="s">
        <v>253</v>
      </c>
      <c r="C149" s="2" t="s">
        <v>223</v>
      </c>
      <c r="D149" s="4">
        <f t="shared" ref="D149:E149" si="42">AVERAGE(K149:K151)</f>
        <v>57.873627257982641</v>
      </c>
      <c r="E149" s="4">
        <f t="shared" si="42"/>
        <v>62.303916106426975</v>
      </c>
      <c r="F149" s="2" t="s">
        <v>17</v>
      </c>
      <c r="G149">
        <v>48</v>
      </c>
      <c r="H149">
        <v>2</v>
      </c>
      <c r="I149">
        <v>95</v>
      </c>
      <c r="J149" s="3">
        <f t="shared" si="38"/>
        <v>50</v>
      </c>
      <c r="K149" s="4">
        <f t="shared" si="39"/>
        <v>50.526315789473685</v>
      </c>
      <c r="L149" s="4">
        <f t="shared" si="40"/>
        <v>52.631578947368418</v>
      </c>
    </row>
    <row r="150" spans="1:15" x14ac:dyDescent="0.2">
      <c r="A150" s="2"/>
      <c r="B150" s="2"/>
      <c r="C150" s="2"/>
      <c r="F150" s="2" t="s">
        <v>18</v>
      </c>
      <c r="G150">
        <v>66</v>
      </c>
      <c r="H150">
        <v>4</v>
      </c>
      <c r="I150">
        <v>104</v>
      </c>
      <c r="J150" s="3">
        <f t="shared" si="38"/>
        <v>70</v>
      </c>
      <c r="K150" s="4">
        <f t="shared" si="39"/>
        <v>63.46153846153846</v>
      </c>
      <c r="L150" s="4">
        <f t="shared" si="40"/>
        <v>67.307692307692307</v>
      </c>
      <c r="M150">
        <v>0</v>
      </c>
      <c r="N150">
        <v>2</v>
      </c>
    </row>
    <row r="151" spans="1:15" x14ac:dyDescent="0.2">
      <c r="A151" s="2"/>
      <c r="B151" s="2"/>
      <c r="C151" s="2"/>
      <c r="F151" s="2" t="s">
        <v>19</v>
      </c>
      <c r="G151">
        <v>65</v>
      </c>
      <c r="H151">
        <v>8</v>
      </c>
      <c r="I151">
        <v>109</v>
      </c>
      <c r="J151" s="3">
        <f t="shared" si="38"/>
        <v>73</v>
      </c>
      <c r="K151" s="4">
        <f t="shared" si="39"/>
        <v>59.633027522935777</v>
      </c>
      <c r="L151" s="4">
        <f t="shared" si="40"/>
        <v>66.972477064220186</v>
      </c>
      <c r="M151">
        <v>0</v>
      </c>
      <c r="N151">
        <v>1</v>
      </c>
    </row>
    <row r="152" spans="1:15" x14ac:dyDescent="0.2">
      <c r="A152" s="2">
        <v>47</v>
      </c>
      <c r="B152" s="2" t="s">
        <v>253</v>
      </c>
      <c r="C152" s="2" t="s">
        <v>241</v>
      </c>
      <c r="D152" s="4">
        <f t="shared" ref="D152:E152" si="43">AVERAGE(K152:K154)</f>
        <v>38.848484848484844</v>
      </c>
      <c r="E152" s="4">
        <f t="shared" si="43"/>
        <v>50.707070707070706</v>
      </c>
      <c r="F152" s="2" t="s">
        <v>17</v>
      </c>
      <c r="G152">
        <v>25</v>
      </c>
      <c r="H152">
        <v>5</v>
      </c>
      <c r="I152">
        <v>66</v>
      </c>
      <c r="J152" s="3">
        <f t="shared" si="38"/>
        <v>30</v>
      </c>
      <c r="K152" s="4">
        <f t="shared" si="39"/>
        <v>37.878787878787875</v>
      </c>
      <c r="L152" s="4">
        <f t="shared" si="40"/>
        <v>45.454545454545453</v>
      </c>
      <c r="O152" t="s">
        <v>254</v>
      </c>
    </row>
    <row r="153" spans="1:15" x14ac:dyDescent="0.2">
      <c r="A153" s="2"/>
      <c r="B153" s="2"/>
      <c r="C153" s="2"/>
      <c r="F153" s="2" t="s">
        <v>18</v>
      </c>
      <c r="G153">
        <v>29</v>
      </c>
      <c r="H153">
        <v>8</v>
      </c>
      <c r="I153">
        <v>75</v>
      </c>
      <c r="J153" s="3">
        <f t="shared" si="38"/>
        <v>37</v>
      </c>
      <c r="K153" s="4">
        <f t="shared" si="39"/>
        <v>38.666666666666664</v>
      </c>
      <c r="L153" s="4">
        <f t="shared" si="40"/>
        <v>49.333333333333336</v>
      </c>
    </row>
    <row r="154" spans="1:15" x14ac:dyDescent="0.2">
      <c r="A154" s="2"/>
      <c r="B154" s="2"/>
      <c r="C154" s="2"/>
      <c r="F154" s="2" t="s">
        <v>19</v>
      </c>
      <c r="G154">
        <v>30</v>
      </c>
      <c r="H154">
        <v>13</v>
      </c>
      <c r="I154">
        <v>75</v>
      </c>
      <c r="J154" s="3">
        <f t="shared" si="38"/>
        <v>43</v>
      </c>
      <c r="K154" s="4">
        <f t="shared" si="39"/>
        <v>40</v>
      </c>
      <c r="L154" s="4">
        <f t="shared" si="40"/>
        <v>57.333333333333336</v>
      </c>
      <c r="M154">
        <v>0</v>
      </c>
      <c r="N154">
        <v>3</v>
      </c>
    </row>
    <row r="155" spans="1:15" x14ac:dyDescent="0.2">
      <c r="A155" s="2">
        <v>48</v>
      </c>
      <c r="B155" s="2" t="s">
        <v>253</v>
      </c>
      <c r="C155" s="2" t="s">
        <v>16</v>
      </c>
      <c r="D155" s="4">
        <f t="shared" ref="D155:E155" si="44">AVERAGE(K155:K157)</f>
        <v>59.185941115123477</v>
      </c>
      <c r="E155" s="4">
        <f t="shared" si="44"/>
        <v>66.155394198113527</v>
      </c>
      <c r="F155" s="2" t="s">
        <v>17</v>
      </c>
      <c r="G155">
        <v>63</v>
      </c>
      <c r="H155">
        <v>9</v>
      </c>
      <c r="I155">
        <v>113</v>
      </c>
      <c r="J155" s="3">
        <f t="shared" si="38"/>
        <v>72</v>
      </c>
      <c r="K155" s="4">
        <f t="shared" si="39"/>
        <v>55.752212389380531</v>
      </c>
      <c r="L155" s="4">
        <f t="shared" si="40"/>
        <v>63.716814159292035</v>
      </c>
      <c r="O155" t="s">
        <v>255</v>
      </c>
    </row>
    <row r="156" spans="1:15" x14ac:dyDescent="0.2">
      <c r="F156" s="2" t="s">
        <v>18</v>
      </c>
      <c r="G156">
        <v>82</v>
      </c>
      <c r="H156">
        <v>9</v>
      </c>
      <c r="I156">
        <v>138</v>
      </c>
      <c r="J156" s="3">
        <f t="shared" si="38"/>
        <v>91</v>
      </c>
      <c r="K156" s="4">
        <f t="shared" si="39"/>
        <v>59.420289855072461</v>
      </c>
      <c r="L156" s="4">
        <f t="shared" si="40"/>
        <v>65.94202898550725</v>
      </c>
    </row>
    <row r="157" spans="1:15" x14ac:dyDescent="0.2">
      <c r="F157" s="2" t="s">
        <v>19</v>
      </c>
      <c r="G157">
        <v>68</v>
      </c>
      <c r="H157">
        <v>7</v>
      </c>
      <c r="I157">
        <v>109</v>
      </c>
      <c r="J157" s="3">
        <f t="shared" si="38"/>
        <v>75</v>
      </c>
      <c r="K157" s="4">
        <f t="shared" si="39"/>
        <v>62.385321100917437</v>
      </c>
      <c r="L157" s="4">
        <f t="shared" si="40"/>
        <v>68.807339449541288</v>
      </c>
      <c r="M157">
        <v>0</v>
      </c>
      <c r="N157">
        <v>1</v>
      </c>
      <c r="O157" t="s">
        <v>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0E92-37A7-D04F-9AE0-28C4F7EE139A}">
  <dimension ref="C3:D42"/>
  <sheetViews>
    <sheetView topLeftCell="A17" zoomScale="140" zoomScaleNormal="140" workbookViewId="0">
      <selection activeCell="C39" sqref="C39"/>
    </sheetView>
  </sheetViews>
  <sheetFormatPr baseColWidth="10" defaultColWidth="11" defaultRowHeight="16" x14ac:dyDescent="0.2"/>
  <cols>
    <col min="3" max="3" width="11.6640625" customWidth="1"/>
  </cols>
  <sheetData>
    <row r="3" spans="3:4" x14ac:dyDescent="0.2">
      <c r="C3" s="5" t="s">
        <v>257</v>
      </c>
    </row>
    <row r="4" spans="3:4" x14ac:dyDescent="0.2">
      <c r="C4" t="s">
        <v>258</v>
      </c>
    </row>
    <row r="5" spans="3:4" x14ac:dyDescent="0.2">
      <c r="C5" t="s">
        <v>259</v>
      </c>
    </row>
    <row r="6" spans="3:4" x14ac:dyDescent="0.2">
      <c r="C6" t="s">
        <v>260</v>
      </c>
    </row>
    <row r="7" spans="3:4" x14ac:dyDescent="0.2">
      <c r="C7" t="s">
        <v>261</v>
      </c>
    </row>
    <row r="8" spans="3:4" x14ac:dyDescent="0.2">
      <c r="C8" t="s">
        <v>262</v>
      </c>
    </row>
    <row r="11" spans="3:4" x14ac:dyDescent="0.2">
      <c r="C11" s="5" t="s">
        <v>263</v>
      </c>
    </row>
    <row r="13" spans="3:4" x14ac:dyDescent="0.2">
      <c r="C13" t="s">
        <v>6</v>
      </c>
      <c r="D13" t="s">
        <v>264</v>
      </c>
    </row>
    <row r="14" spans="3:4" x14ac:dyDescent="0.2">
      <c r="C14" t="s">
        <v>265</v>
      </c>
      <c r="D14" t="s">
        <v>266</v>
      </c>
    </row>
    <row r="15" spans="3:4" x14ac:dyDescent="0.2">
      <c r="C15" t="s">
        <v>267</v>
      </c>
      <c r="D15" t="s">
        <v>268</v>
      </c>
    </row>
    <row r="16" spans="3:4" x14ac:dyDescent="0.2">
      <c r="D16" t="s">
        <v>269</v>
      </c>
    </row>
    <row r="17" spans="3:4" x14ac:dyDescent="0.2">
      <c r="D17" t="s">
        <v>270</v>
      </c>
    </row>
    <row r="18" spans="3:4" x14ac:dyDescent="0.2">
      <c r="C18" t="s">
        <v>271</v>
      </c>
      <c r="D18" t="s">
        <v>272</v>
      </c>
    </row>
    <row r="19" spans="3:4" x14ac:dyDescent="0.2">
      <c r="D19" t="s">
        <v>273</v>
      </c>
    </row>
    <row r="20" spans="3:4" x14ac:dyDescent="0.2">
      <c r="C20" t="s">
        <v>274</v>
      </c>
      <c r="D20" t="s">
        <v>275</v>
      </c>
    </row>
    <row r="21" spans="3:4" x14ac:dyDescent="0.2">
      <c r="D21" t="s">
        <v>276</v>
      </c>
    </row>
    <row r="22" spans="3:4" x14ac:dyDescent="0.2">
      <c r="C22" t="s">
        <v>9</v>
      </c>
      <c r="D22" t="s">
        <v>277</v>
      </c>
    </row>
    <row r="25" spans="3:4" x14ac:dyDescent="0.2">
      <c r="C25" s="5" t="s">
        <v>278</v>
      </c>
    </row>
    <row r="26" spans="3:4" x14ac:dyDescent="0.2">
      <c r="C26" t="s">
        <v>279</v>
      </c>
    </row>
    <row r="27" spans="3:4" x14ac:dyDescent="0.2">
      <c r="C27" t="s">
        <v>280</v>
      </c>
    </row>
    <row r="28" spans="3:4" x14ac:dyDescent="0.2">
      <c r="C28" t="s">
        <v>281</v>
      </c>
    </row>
    <row r="29" spans="3:4" x14ac:dyDescent="0.2">
      <c r="C29" t="s">
        <v>282</v>
      </c>
    </row>
    <row r="31" spans="3:4" x14ac:dyDescent="0.2">
      <c r="C31" s="5" t="s">
        <v>283</v>
      </c>
    </row>
    <row r="32" spans="3:4" x14ac:dyDescent="0.2">
      <c r="C32" t="s">
        <v>284</v>
      </c>
    </row>
    <row r="34" spans="3:3" x14ac:dyDescent="0.2">
      <c r="C34" s="5" t="s">
        <v>285</v>
      </c>
    </row>
    <row r="36" spans="3:3" x14ac:dyDescent="0.2">
      <c r="C36" t="s">
        <v>286</v>
      </c>
    </row>
    <row r="37" spans="3:3" x14ac:dyDescent="0.2">
      <c r="C37" t="s">
        <v>287</v>
      </c>
    </row>
    <row r="38" spans="3:3" x14ac:dyDescent="0.2">
      <c r="C38" t="s">
        <v>288</v>
      </c>
    </row>
    <row r="39" spans="3:3" x14ac:dyDescent="0.2">
      <c r="C39" t="s">
        <v>289</v>
      </c>
    </row>
    <row r="41" spans="3:3" x14ac:dyDescent="0.2">
      <c r="C41" t="s">
        <v>290</v>
      </c>
    </row>
    <row r="42" spans="3:3" x14ac:dyDescent="0.2">
      <c r="C42" t="s">
        <v>291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fe495eb-e6d3-4879-ab81-ad89ce96a291" xsi:nil="true"/>
    <lcf76f155ced4ddcb4097134ff3c332f xmlns="48f63556-796e-48d6-8638-4824891e0692">
      <Terms xmlns="http://schemas.microsoft.com/office/infopath/2007/PartnerControls"/>
    </lcf76f155ced4ddcb4097134ff3c332f>
    <_ip_UnifiedCompliancePolicyProperties xmlns="http://schemas.microsoft.com/sharepoint/v3" xsi:nil="true"/>
    <SharedWithUsers xmlns="cfe495eb-e6d3-4879-ab81-ad89ce96a291">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4412DB7406CC40B7AD3FD3494639B7" ma:contentTypeVersion="18" ma:contentTypeDescription="Create a new document." ma:contentTypeScope="" ma:versionID="26df00fd6fd218956bd1449baf12d760">
  <xsd:schema xmlns:xsd="http://www.w3.org/2001/XMLSchema" xmlns:xs="http://www.w3.org/2001/XMLSchema" xmlns:p="http://schemas.microsoft.com/office/2006/metadata/properties" xmlns:ns1="http://schemas.microsoft.com/sharepoint/v3" xmlns:ns2="48f63556-796e-48d6-8638-4824891e0692" xmlns:ns3="cfe495eb-e6d3-4879-ab81-ad89ce96a291" targetNamespace="http://schemas.microsoft.com/office/2006/metadata/properties" ma:root="true" ma:fieldsID="6534945339f1eceab37efc75c3e9ace8" ns1:_="" ns2:_="" ns3:_="">
    <xsd:import namespace="http://schemas.microsoft.com/sharepoint/v3"/>
    <xsd:import namespace="48f63556-796e-48d6-8638-4824891e0692"/>
    <xsd:import namespace="cfe495eb-e6d3-4879-ab81-ad89ce96a29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f63556-796e-48d6-8638-4824891e06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31a9f2b-31ec-4979-96c8-dd65772325e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e495eb-e6d3-4879-ab81-ad89ce96a29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624d35f-d8f9-4133-96d0-6e6690b93072}" ma:internalName="TaxCatchAll" ma:showField="CatchAllData" ma:web="cfe495eb-e6d3-4879-ab81-ad89ce96a29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AFDD54-1357-40B7-A16D-F033B32A4BFC}">
  <ds:schemaRefs>
    <ds:schemaRef ds:uri="http://schemas.microsoft.com/sharepoint/v3/contenttype/forms"/>
  </ds:schemaRefs>
</ds:datastoreItem>
</file>

<file path=customXml/itemProps2.xml><?xml version="1.0" encoding="utf-8"?>
<ds:datastoreItem xmlns:ds="http://schemas.openxmlformats.org/officeDocument/2006/customXml" ds:itemID="{B72C5FD9-807E-4D32-BA25-FCC38963D9BD}">
  <ds:schemaRefs>
    <ds:schemaRef ds:uri="http://schemas.microsoft.com/office/2006/metadata/properties"/>
    <ds:schemaRef ds:uri="http://schemas.microsoft.com/office/infopath/2007/PartnerControls"/>
    <ds:schemaRef ds:uri="http://schemas.microsoft.com/sharepoint/v3"/>
    <ds:schemaRef ds:uri="cfe495eb-e6d3-4879-ab81-ad89ce96a291"/>
    <ds:schemaRef ds:uri="48f63556-796e-48d6-8638-4824891e0692"/>
  </ds:schemaRefs>
</ds:datastoreItem>
</file>

<file path=customXml/itemProps3.xml><?xml version="1.0" encoding="utf-8"?>
<ds:datastoreItem xmlns:ds="http://schemas.openxmlformats.org/officeDocument/2006/customXml" ds:itemID="{DC446A7F-146F-49AB-8C7F-7B556E9D3D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8f63556-796e-48d6-8638-4824891e0692"/>
    <ds:schemaRef ds:uri="cfe495eb-e6d3-4879-ab81-ad89ce96a2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7.13.21 (67)</vt:lpstr>
      <vt:lpstr>7.28.21 (48)</vt:lpstr>
      <vt:lpstr>Materials and methods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GomezRangel, Kate</cp:lastModifiedBy>
  <cp:revision/>
  <dcterms:created xsi:type="dcterms:W3CDTF">2022-02-18T21:01:25Z</dcterms:created>
  <dcterms:modified xsi:type="dcterms:W3CDTF">2025-12-05T03:29:45Z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0x010100D34412DB7406CC40B7AD3FD3494639B7</vt:lpwstr>
  </property>
  <property fmtid="{D5CDD505-2E9C-101B-9397-08002B2CF9AE}" pid="3" name="Order">
    <vt:r8>536900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