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edominque/Desktop/"/>
    </mc:Choice>
  </mc:AlternateContent>
  <xr:revisionPtr revIDLastSave="0" documentId="8_{AD1D3B1F-6F0E-9E49-8D3B-1F63DA1EAAF3}" xr6:coauthVersionLast="47" xr6:coauthVersionMax="47" xr10:uidLastSave="{00000000-0000-0000-0000-000000000000}"/>
  <bookViews>
    <workbookView xWindow="0" yWindow="1440" windowWidth="31940" windowHeight="18920" tabRatio="500" xr2:uid="{00000000-000D-0000-FFFF-FFFF00000000}"/>
  </bookViews>
  <sheets>
    <sheet name="6.18.21 fertilization" sheetId="1" r:id="rId1"/>
    <sheet name="6.18.21 fertilization w degen" sheetId="2" r:id="rId2"/>
    <sheet name="6.18.21 fertilization revisit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3" i="3" l="1"/>
  <c r="L43" i="3"/>
  <c r="M42" i="3"/>
  <c r="L42" i="3"/>
  <c r="M41" i="3"/>
  <c r="Q42" i="3" s="1"/>
  <c r="L41" i="3"/>
  <c r="P42" i="3" s="1"/>
  <c r="M40" i="3"/>
  <c r="L40" i="3"/>
  <c r="M39" i="3"/>
  <c r="L39" i="3"/>
  <c r="M38" i="3"/>
  <c r="Q39" i="3" s="1"/>
  <c r="L38" i="3"/>
  <c r="P39" i="3" s="1"/>
  <c r="M37" i="3"/>
  <c r="L37" i="3"/>
  <c r="M36" i="3"/>
  <c r="L36" i="3"/>
  <c r="M35" i="3"/>
  <c r="Q36" i="3" s="1"/>
  <c r="L35" i="3"/>
  <c r="P36" i="3" s="1"/>
  <c r="M34" i="3"/>
  <c r="L34" i="3"/>
  <c r="M33" i="3"/>
  <c r="L33" i="3"/>
  <c r="M32" i="3"/>
  <c r="Q33" i="3" s="1"/>
  <c r="L32" i="3"/>
  <c r="P33" i="3" s="1"/>
  <c r="M31" i="3"/>
  <c r="L31" i="3"/>
  <c r="M30" i="3"/>
  <c r="L30" i="3"/>
  <c r="M29" i="3"/>
  <c r="Q30" i="3" s="1"/>
  <c r="L29" i="3"/>
  <c r="P30" i="3" s="1"/>
  <c r="M28" i="3"/>
  <c r="L28" i="3"/>
  <c r="M27" i="3"/>
  <c r="L27" i="3"/>
  <c r="M26" i="3"/>
  <c r="Q27" i="3" s="1"/>
  <c r="L26" i="3"/>
  <c r="P27" i="3" s="1"/>
  <c r="M25" i="3"/>
  <c r="L25" i="3"/>
  <c r="M24" i="3"/>
  <c r="L24" i="3"/>
  <c r="M23" i="3"/>
  <c r="Q24" i="3" s="1"/>
  <c r="L23" i="3"/>
  <c r="P24" i="3" s="1"/>
  <c r="M22" i="3"/>
  <c r="L22" i="3"/>
  <c r="M21" i="3"/>
  <c r="L21" i="3"/>
  <c r="M20" i="3"/>
  <c r="Q21" i="3" s="1"/>
  <c r="L20" i="3"/>
  <c r="P21" i="3" s="1"/>
  <c r="M19" i="3"/>
  <c r="L19" i="3"/>
  <c r="M18" i="3"/>
  <c r="L18" i="3"/>
  <c r="M17" i="3"/>
  <c r="Q18" i="3" s="1"/>
  <c r="L17" i="3"/>
  <c r="P18" i="3" s="1"/>
  <c r="M16" i="3"/>
  <c r="L16" i="3"/>
  <c r="M15" i="3"/>
  <c r="L15" i="3"/>
  <c r="M14" i="3"/>
  <c r="Q15" i="3" s="1"/>
  <c r="L14" i="3"/>
  <c r="P15" i="3" s="1"/>
  <c r="M13" i="3"/>
  <c r="L13" i="3"/>
  <c r="M12" i="3"/>
  <c r="L12" i="3"/>
  <c r="M11" i="3"/>
  <c r="Q12" i="3" s="1"/>
  <c r="L11" i="3"/>
  <c r="P12" i="3" s="1"/>
  <c r="M10" i="3"/>
  <c r="L10" i="3"/>
  <c r="M9" i="3"/>
  <c r="L9" i="3"/>
  <c r="M8" i="3"/>
  <c r="Q9" i="3" s="1"/>
  <c r="L8" i="3"/>
  <c r="P9" i="3" s="1"/>
  <c r="K42" i="2"/>
  <c r="L42" i="2" s="1"/>
  <c r="K41" i="2"/>
  <c r="L41" i="2" s="1"/>
  <c r="K40" i="2"/>
  <c r="L40" i="2" s="1"/>
  <c r="N41" i="2" s="1"/>
  <c r="L39" i="2"/>
  <c r="K39" i="2"/>
  <c r="K38" i="2"/>
  <c r="L38" i="2" s="1"/>
  <c r="K37" i="2"/>
  <c r="L37" i="2" s="1"/>
  <c r="L36" i="2"/>
  <c r="K36" i="2"/>
  <c r="K35" i="2"/>
  <c r="L35" i="2" s="1"/>
  <c r="K34" i="2"/>
  <c r="L34" i="2" s="1"/>
  <c r="N35" i="2" s="1"/>
  <c r="K33" i="2"/>
  <c r="L33" i="2" s="1"/>
  <c r="L32" i="2"/>
  <c r="K32" i="2"/>
  <c r="K31" i="2"/>
  <c r="L31" i="2" s="1"/>
  <c r="N32" i="2" s="1"/>
  <c r="K30" i="2"/>
  <c r="L30" i="2" s="1"/>
  <c r="L29" i="2"/>
  <c r="K29" i="2"/>
  <c r="K28" i="2"/>
  <c r="L28" i="2" s="1"/>
  <c r="K27" i="2"/>
  <c r="L27" i="2" s="1"/>
  <c r="L26" i="2"/>
  <c r="N26" i="2" s="1"/>
  <c r="K26" i="2"/>
  <c r="L25" i="2"/>
  <c r="K25" i="2"/>
  <c r="K24" i="2"/>
  <c r="L24" i="2" s="1"/>
  <c r="K23" i="2"/>
  <c r="L23" i="2" s="1"/>
  <c r="N23" i="2" s="1"/>
  <c r="L22" i="2"/>
  <c r="K22" i="2"/>
  <c r="K21" i="2"/>
  <c r="L21" i="2" s="1"/>
  <c r="K20" i="2"/>
  <c r="L20" i="2" s="1"/>
  <c r="L19" i="2"/>
  <c r="K19" i="2"/>
  <c r="L18" i="2"/>
  <c r="K18" i="2"/>
  <c r="K17" i="2"/>
  <c r="L17" i="2" s="1"/>
  <c r="K16" i="2"/>
  <c r="L16" i="2" s="1"/>
  <c r="N17" i="2" s="1"/>
  <c r="L15" i="2"/>
  <c r="K15" i="2"/>
  <c r="K14" i="2"/>
  <c r="L14" i="2" s="1"/>
  <c r="K13" i="2"/>
  <c r="L13" i="2" s="1"/>
  <c r="N14" i="2" s="1"/>
  <c r="L12" i="2"/>
  <c r="K12" i="2"/>
  <c r="K11" i="2"/>
  <c r="L11" i="2" s="1"/>
  <c r="K10" i="2"/>
  <c r="L10" i="2" s="1"/>
  <c r="N11" i="2" s="1"/>
  <c r="K9" i="2"/>
  <c r="L9" i="2" s="1"/>
  <c r="L8" i="2"/>
  <c r="K8" i="2"/>
  <c r="K7" i="2"/>
  <c r="L7" i="2" s="1"/>
  <c r="N8" i="2" s="1"/>
  <c r="K6" i="2"/>
  <c r="L6" i="2" s="1"/>
  <c r="L5" i="2"/>
  <c r="K5" i="2"/>
  <c r="K4" i="2"/>
  <c r="L4" i="2" s="1"/>
  <c r="N5" i="2" s="1"/>
  <c r="K44" i="1"/>
  <c r="L44" i="1" s="1"/>
  <c r="L43" i="1"/>
  <c r="K43" i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O37" i="1" s="1"/>
  <c r="K36" i="1"/>
  <c r="L36" i="1" s="1"/>
  <c r="L35" i="1"/>
  <c r="K35" i="1"/>
  <c r="K34" i="1"/>
  <c r="L34" i="1" s="1"/>
  <c r="K33" i="1"/>
  <c r="L33" i="1" s="1"/>
  <c r="L32" i="1"/>
  <c r="K32" i="1"/>
  <c r="K31" i="1"/>
  <c r="L31" i="1" s="1"/>
  <c r="O31" i="1" s="1"/>
  <c r="L30" i="1"/>
  <c r="P31" i="1" s="1"/>
  <c r="K30" i="1"/>
  <c r="L29" i="1"/>
  <c r="K29" i="1"/>
  <c r="K28" i="1"/>
  <c r="L28" i="1" s="1"/>
  <c r="L27" i="1"/>
  <c r="N28" i="1" s="1"/>
  <c r="K27" i="1"/>
  <c r="L26" i="1"/>
  <c r="K26" i="1"/>
  <c r="P25" i="1"/>
  <c r="L25" i="1"/>
  <c r="O25" i="1" s="1"/>
  <c r="K25" i="1"/>
  <c r="L24" i="1"/>
  <c r="K24" i="1"/>
  <c r="K23" i="1"/>
  <c r="L23" i="1" s="1"/>
  <c r="P22" i="1"/>
  <c r="L22" i="1"/>
  <c r="K22" i="1"/>
  <c r="L21" i="1"/>
  <c r="K21" i="1"/>
  <c r="K20" i="1"/>
  <c r="L20" i="1" s="1"/>
  <c r="L19" i="1"/>
  <c r="K19" i="1"/>
  <c r="K18" i="1"/>
  <c r="L18" i="1" s="1"/>
  <c r="K17" i="1"/>
  <c r="L17" i="1" s="1"/>
  <c r="L16" i="1"/>
  <c r="K16" i="1"/>
  <c r="K15" i="1"/>
  <c r="L15" i="1" s="1"/>
  <c r="K14" i="1"/>
  <c r="L14" i="1" s="1"/>
  <c r="K13" i="1"/>
  <c r="L13" i="1" s="1"/>
  <c r="K12" i="1"/>
  <c r="L12" i="1" s="1"/>
  <c r="L11" i="1"/>
  <c r="K11" i="1"/>
  <c r="K10" i="1"/>
  <c r="L10" i="1" s="1"/>
  <c r="K9" i="1"/>
  <c r="L9" i="1" s="1"/>
  <c r="L8" i="1"/>
  <c r="K8" i="1"/>
  <c r="K7" i="1"/>
  <c r="L7" i="1" s="1"/>
  <c r="L6" i="1"/>
  <c r="P7" i="1" s="1"/>
  <c r="K6" i="1"/>
  <c r="P10" i="1" l="1"/>
  <c r="O10" i="1"/>
  <c r="N10" i="1"/>
  <c r="O43" i="1"/>
  <c r="N43" i="1"/>
  <c r="P43" i="1"/>
  <c r="N20" i="2"/>
  <c r="N38" i="2"/>
  <c r="N37" i="1"/>
  <c r="P37" i="1"/>
  <c r="O19" i="1"/>
  <c r="P19" i="1"/>
  <c r="N19" i="1"/>
  <c r="O13" i="1"/>
  <c r="N13" i="1"/>
  <c r="P13" i="1"/>
  <c r="O22" i="1"/>
  <c r="N22" i="1"/>
  <c r="N40" i="1"/>
  <c r="O40" i="1"/>
  <c r="P40" i="1"/>
  <c r="N29" i="2"/>
  <c r="P34" i="1"/>
  <c r="O34" i="1"/>
  <c r="N34" i="1"/>
  <c r="N16" i="1"/>
  <c r="P16" i="1"/>
  <c r="O16" i="1"/>
  <c r="N25" i="1"/>
  <c r="N7" i="1"/>
  <c r="O28" i="1"/>
  <c r="N31" i="1"/>
  <c r="O7" i="1"/>
  <c r="P28" i="1"/>
</calcChain>
</file>

<file path=xl/sharedStrings.xml><?xml version="1.0" encoding="utf-8"?>
<sst xmlns="http://schemas.openxmlformats.org/spreadsheetml/2006/main" count="364" uniqueCount="122">
  <si>
    <t>6.29.21</t>
  </si>
  <si>
    <t>1. Degenerated embryos not included included in total</t>
  </si>
  <si>
    <t>Next time we have to be consistent about sampling at same time (60 min)</t>
  </si>
  <si>
    <t>Day ID</t>
  </si>
  <si>
    <t>Female</t>
  </si>
  <si>
    <t>Male</t>
  </si>
  <si>
    <t>Female ID</t>
  </si>
  <si>
    <t>Male ID</t>
  </si>
  <si>
    <t>Cross ID</t>
  </si>
  <si>
    <t>replicate</t>
  </si>
  <si>
    <t xml:space="preserve">divided </t>
  </si>
  <si>
    <t>count</t>
  </si>
  <si>
    <t>can't see</t>
  </si>
  <si>
    <t>new total</t>
  </si>
  <si>
    <t>%</t>
  </si>
  <si>
    <t>degenerated</t>
  </si>
  <si>
    <t>average</t>
  </si>
  <si>
    <t xml:space="preserve">adjusted </t>
  </si>
  <si>
    <t>just 1st</t>
  </si>
  <si>
    <t>notes</t>
  </si>
  <si>
    <t>Cross 1</t>
  </si>
  <si>
    <t>ULM-1</t>
  </si>
  <si>
    <t>CV-ULM-001</t>
  </si>
  <si>
    <t>CV-ULM-012</t>
  </si>
  <si>
    <t>2021-1</t>
  </si>
  <si>
    <t>unlisted</t>
  </si>
  <si>
    <t>Cross 2</t>
  </si>
  <si>
    <t>ULM-2</t>
  </si>
  <si>
    <t>CV-ULM-002</t>
  </si>
  <si>
    <t>CV-ULM-013</t>
  </si>
  <si>
    <t>2021-2</t>
  </si>
  <si>
    <t>Cross 3</t>
  </si>
  <si>
    <t>ULM-3</t>
  </si>
  <si>
    <t>ULM-5</t>
  </si>
  <si>
    <t>CV-ULM-003</t>
  </si>
  <si>
    <t>CV-ULM-016</t>
  </si>
  <si>
    <t>2021-3</t>
  </si>
  <si>
    <t>more apple/deflated than peach - could revisit to be sure there is division</t>
  </si>
  <si>
    <t>Cross 4</t>
  </si>
  <si>
    <t>MGB-3</t>
  </si>
  <si>
    <t>CV-ULM-005</t>
  </si>
  <si>
    <t>CV-MGB-013</t>
  </si>
  <si>
    <t>2021-10</t>
  </si>
  <si>
    <t>Cross 5</t>
  </si>
  <si>
    <t>ULM-6</t>
  </si>
  <si>
    <t>CV-ULM-006</t>
  </si>
  <si>
    <t>2021-11</t>
  </si>
  <si>
    <t>Cross 6</t>
  </si>
  <si>
    <t>ULM-4</t>
  </si>
  <si>
    <t>MGB-4</t>
  </si>
  <si>
    <t>CV-ULM-004</t>
  </si>
  <si>
    <t>CV-MGB-014</t>
  </si>
  <si>
    <t>2021-17</t>
  </si>
  <si>
    <t>Cross 7</t>
  </si>
  <si>
    <t>MGB-1</t>
  </si>
  <si>
    <t>MGB-5</t>
  </si>
  <si>
    <t>CV-MGB-001</t>
  </si>
  <si>
    <t>CV-MGB-015</t>
  </si>
  <si>
    <t>2021-19</t>
  </si>
  <si>
    <t>Cross 8</t>
  </si>
  <si>
    <t>MGB-7</t>
  </si>
  <si>
    <t>CV-MGB-004</t>
  </si>
  <si>
    <t>CV-MGB-017</t>
  </si>
  <si>
    <t>2021-25</t>
  </si>
  <si>
    <t>Cross 9</t>
  </si>
  <si>
    <t>CV-MGB-007</t>
  </si>
  <si>
    <t>2021-31</t>
  </si>
  <si>
    <t>cross 9 looks like it was caught late and undivided cells were degenerating</t>
  </si>
  <si>
    <t>9 - undil.</t>
  </si>
  <si>
    <t>Cross 10</t>
  </si>
  <si>
    <t>2021-26</t>
  </si>
  <si>
    <t>Cross 11</t>
  </si>
  <si>
    <t>CV-MGB-005</t>
  </si>
  <si>
    <t>2021-28</t>
  </si>
  <si>
    <t>Cross 12</t>
  </si>
  <si>
    <t>MGB-2</t>
  </si>
  <si>
    <t>CV-MGB-002</t>
  </si>
  <si>
    <t>2021-23</t>
  </si>
  <si>
    <t>2. Degenerated embryos included in total (because likely not fertilized)</t>
  </si>
  <si>
    <t>Likely artifact of different wait times after fertilization (1-3 hours)</t>
  </si>
  <si>
    <t>total w deg</t>
  </si>
  <si>
    <t>8.13.21-8.16.21</t>
  </si>
  <si>
    <t>3. Polar bodies counted separately, and only on non-divided embryos. Embryos that I can't see/on edge not included in total, DO NOT ADD. Degraded embryos included in total.</t>
  </si>
  <si>
    <t>4. Includes polar bodies in fertilization estimate</t>
  </si>
  <si>
    <t>Same samples, new subsamples counted about 2 months later, in 10% formalin stored at 4C (40F), vortexed master sample, took 20uL subsample, added 180uL formalin for 1:10 dilution (a few in 380 for 1:20, 1 neat), view 20uL droplets at 10x, looking in scope usually, camera if need a better look to see if divided, polar body, etc.</t>
  </si>
  <si>
    <t>already</t>
  </si>
  <si>
    <t>don't add</t>
  </si>
  <si>
    <t>in total</t>
  </si>
  <si>
    <t>edge</t>
  </si>
  <si>
    <t xml:space="preserve">Cross </t>
  </si>
  <si>
    <t>Cross_type</t>
  </si>
  <si>
    <t>polar bodies</t>
  </si>
  <si>
    <t>total</t>
  </si>
  <si>
    <t>% div</t>
  </si>
  <si>
    <t>% w PBs</t>
  </si>
  <si>
    <t>with PB's</t>
  </si>
  <si>
    <t>SS</t>
  </si>
  <si>
    <t>2-3 cell stage, no clear PB's so far, some pointed eggs but not big obvious PB's on divided nor undivided cells, even upon examination with  camera</t>
  </si>
  <si>
    <t>2-3 cell stage</t>
  </si>
  <si>
    <t>can clearly see PB's on divided embryos in this pic</t>
  </si>
  <si>
    <t>2-3 cell stage, PB's very clear</t>
  </si>
  <si>
    <t>PB's very clear</t>
  </si>
  <si>
    <t>SN</t>
  </si>
  <si>
    <t>2-3 cell stage, celar PB's</t>
  </si>
  <si>
    <t>3 images</t>
  </si>
  <si>
    <t>undiluted, because looked first diluted and it was very low totals (10-16)</t>
  </si>
  <si>
    <t>NN</t>
  </si>
  <si>
    <t>~32 cell stage, lobed not mickey mouse, see images captured</t>
  </si>
  <si>
    <t>there were also additional 2 degenerated that were fertilized (and included), one stopped at 2 cell stage and 1 further along but with egg shell separation</t>
  </si>
  <si>
    <t>divided - raspberry stage (16 cells?), see images, 2 tiny cells not counted at all, the 2 degenerated were like giant empty bubbles that did not look like PB or divided</t>
  </si>
  <si>
    <t>1 tiny cell not counted - image taken, 1 PB had a giant bubble, image taken (so possibly unsure of 1 of the 2 PB's)</t>
  </si>
  <si>
    <t>1 tiny cell not counted</t>
  </si>
  <si>
    <t>2 2-cell, rest lobed (32-cell stage), see images, 6 degraded severely (not fertilized)</t>
  </si>
  <si>
    <t>7 severely degraded, non-fert, 1 tiny cell not included</t>
  </si>
  <si>
    <t>divided are lobed/32-cell stage, also 1-2 are 2-cell stage, 1 tiny misshapen cell not included</t>
  </si>
  <si>
    <t>NS</t>
  </si>
  <si>
    <t>greater than 8 cell stage, see images</t>
  </si>
  <si>
    <t>several misshapen, non-divided (in all 3 reps)</t>
  </si>
  <si>
    <t>8-cell stage/rasberry stage (round, mickey-mouse)</t>
  </si>
  <si>
    <t>big bubble like seen before, not assigned as fertilized</t>
  </si>
  <si>
    <t>some 2-cell, some 32-cell or more, for PB's, not a lot of other junk floating around like in 11, so pretty clear</t>
  </si>
  <si>
    <t>1 degraded, not fertilized (included in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</si>
</sst>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D0CECE"/>
      <name val="Calibri (Body)"/>
      <charset val="1"/>
    </font>
    <font>
      <sz val="11"/>
      <color rgb="FFA6A6A6"/>
      <name val="Calibri (Body)"/>
      <charset val="1"/>
    </font>
    <font>
      <sz val="11"/>
      <color rgb="FF000000"/>
      <name val="Calibri (Body)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2CC"/>
        <bgColor rgb="FFFBE5D6"/>
      </patternFill>
    </fill>
    <fill>
      <patternFill patternType="solid">
        <fgColor rgb="FFFBE5D6"/>
        <bgColor rgb="FFFFF2CC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0" borderId="0" xfId="0" applyAlignment="1">
      <alignment horizontal="left"/>
    </xf>
    <xf numFmtId="2" fontId="0" fillId="0" borderId="0" xfId="0" applyNumberFormat="1" applyAlignment="1">
      <alignment horizontal="center" wrapText="1"/>
    </xf>
    <xf numFmtId="0" fontId="0" fillId="2" borderId="0" xfId="0" applyFill="1" applyAlignment="1">
      <alignment horizontal="center" wrapText="1"/>
    </xf>
    <xf numFmtId="0" fontId="1" fillId="0" borderId="0" xfId="0" applyFont="1"/>
    <xf numFmtId="0" fontId="0" fillId="0" borderId="1" xfId="0" applyBorder="1"/>
    <xf numFmtId="2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/>
    <xf numFmtId="1" fontId="0" fillId="0" borderId="1" xfId="0" applyNumberFormat="1" applyBorder="1"/>
    <xf numFmtId="2" fontId="0" fillId="0" borderId="1" xfId="0" applyNumberFormat="1" applyBorder="1"/>
    <xf numFmtId="2" fontId="1" fillId="0" borderId="1" xfId="0" applyNumberFormat="1" applyFont="1" applyBorder="1"/>
    <xf numFmtId="2" fontId="0" fillId="3" borderId="0" xfId="0" applyNumberFormat="1" applyFill="1" applyAlignment="1">
      <alignment horizontal="center"/>
    </xf>
    <xf numFmtId="2" fontId="0" fillId="0" borderId="0" xfId="0" applyNumberFormat="1"/>
    <xf numFmtId="1" fontId="0" fillId="0" borderId="0" xfId="0" applyNumberFormat="1"/>
    <xf numFmtId="2" fontId="1" fillId="0" borderId="0" xfId="0" applyNumberFormat="1" applyFont="1"/>
    <xf numFmtId="0" fontId="0" fillId="0" borderId="2" xfId="0" applyBorder="1"/>
    <xf numFmtId="2" fontId="0" fillId="3" borderId="2" xfId="0" applyNumberFormat="1" applyFill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3" fontId="0" fillId="0" borderId="2" xfId="0" applyNumberFormat="1" applyBorder="1"/>
    <xf numFmtId="1" fontId="0" fillId="0" borderId="2" xfId="0" applyNumberFormat="1" applyBorder="1"/>
    <xf numFmtId="2" fontId="0" fillId="0" borderId="2" xfId="0" applyNumberFormat="1" applyBorder="1"/>
    <xf numFmtId="2" fontId="1" fillId="0" borderId="2" xfId="0" applyNumberFormat="1" applyFont="1" applyBorder="1"/>
    <xf numFmtId="2" fontId="0" fillId="0" borderId="0" xfId="0" applyNumberFormat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2" fontId="2" fillId="3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" fontId="2" fillId="0" borderId="0" xfId="0" applyNumberFormat="1" applyFont="1"/>
    <xf numFmtId="2" fontId="2" fillId="0" borderId="0" xfId="0" applyNumberFormat="1" applyFont="1" applyAlignment="1">
      <alignment horizontal="center"/>
    </xf>
    <xf numFmtId="0" fontId="3" fillId="0" borderId="1" xfId="0" applyFont="1" applyBorder="1"/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0" xfId="0" applyFont="1"/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1"/>
  <sheetViews>
    <sheetView tabSelected="1" zoomScale="150" zoomScaleNormal="150" workbookViewId="0">
      <selection activeCell="M38" sqref="M38"/>
    </sheetView>
  </sheetViews>
  <sheetFormatPr baseColWidth="10" defaultColWidth="8.83203125" defaultRowHeight="15" x14ac:dyDescent="0.2"/>
  <cols>
    <col min="4" max="5" width="11.1640625" customWidth="1"/>
    <col min="7" max="7" width="7.83203125" customWidth="1"/>
    <col min="8" max="8" width="7" customWidth="1"/>
    <col min="11" max="11" width="10" customWidth="1"/>
    <col min="12" max="12" width="8.83203125" style="2"/>
    <col min="13" max="13" width="10" style="3" customWidth="1"/>
    <col min="16" max="16" width="8.83203125" style="2"/>
    <col min="17" max="17" width="59.1640625" customWidth="1"/>
    <col min="18" max="18" width="10.83203125" customWidth="1"/>
    <col min="19" max="19" width="9.5" customWidth="1"/>
    <col min="24" max="24" width="9.83203125" customWidth="1"/>
    <col min="28" max="28" width="6.83203125" style="4" customWidth="1"/>
    <col min="29" max="29" width="8" style="4" customWidth="1"/>
    <col min="30" max="30" width="9.1640625" style="4" customWidth="1"/>
    <col min="31" max="31" width="16.33203125" style="4" customWidth="1"/>
    <col min="32" max="32" width="16.6640625" style="4" customWidth="1"/>
    <col min="33" max="33" width="23.33203125" style="4" customWidth="1"/>
    <col min="34" max="34" width="13.6640625" style="4" customWidth="1"/>
    <col min="35" max="35" width="16.83203125" style="4" customWidth="1"/>
    <col min="36" max="36" width="9.5" style="4" customWidth="1"/>
    <col min="37" max="37" width="10.33203125" customWidth="1"/>
    <col min="38" max="38" width="14.5" customWidth="1"/>
    <col min="44" max="44" width="47" customWidth="1"/>
  </cols>
  <sheetData>
    <row r="1" spans="1:61" x14ac:dyDescent="0.2">
      <c r="A1" t="s">
        <v>0</v>
      </c>
      <c r="I1" s="5"/>
      <c r="J1" s="5"/>
      <c r="K1" s="5"/>
      <c r="L1" s="5"/>
      <c r="M1" s="6"/>
      <c r="N1" s="5"/>
      <c r="Q1" s="7" t="s">
        <v>1</v>
      </c>
      <c r="R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</row>
    <row r="2" spans="1:61" x14ac:dyDescent="0.2">
      <c r="I2" s="5"/>
      <c r="J2" s="5"/>
      <c r="K2" s="5"/>
      <c r="L2" s="5"/>
      <c r="M2" s="6"/>
      <c r="N2" s="5"/>
      <c r="Q2" s="8" t="s">
        <v>2</v>
      </c>
      <c r="R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</row>
    <row r="3" spans="1:61" x14ac:dyDescent="0.2">
      <c r="I3" s="5"/>
      <c r="J3" s="5"/>
      <c r="K3" s="5"/>
      <c r="L3" s="5"/>
      <c r="M3" s="6"/>
      <c r="N3" s="5"/>
      <c r="R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</row>
    <row r="4" spans="1:61" x14ac:dyDescent="0.2">
      <c r="B4" t="s">
        <v>3</v>
      </c>
      <c r="C4" t="s">
        <v>3</v>
      </c>
      <c r="I4" s="6"/>
      <c r="J4" s="6"/>
      <c r="K4" s="6"/>
      <c r="L4" s="9"/>
      <c r="M4" s="6"/>
      <c r="N4" s="10">
        <v>1</v>
      </c>
      <c r="O4" s="6"/>
      <c r="P4" s="9"/>
      <c r="R4" s="6"/>
      <c r="S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K4" s="6"/>
      <c r="AL4" s="6"/>
      <c r="AM4" s="6"/>
      <c r="AN4" s="6"/>
      <c r="AO4" s="6"/>
      <c r="AP4" s="6"/>
      <c r="AQ4" s="6"/>
      <c r="AR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</row>
    <row r="5" spans="1:61" x14ac:dyDescent="0.2"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s="3" t="s">
        <v>11</v>
      </c>
      <c r="J5" s="3" t="s">
        <v>12</v>
      </c>
      <c r="K5" s="3" t="s">
        <v>13</v>
      </c>
      <c r="L5" s="2" t="s">
        <v>14</v>
      </c>
      <c r="M5" s="3" t="s">
        <v>15</v>
      </c>
      <c r="N5" s="3" t="s">
        <v>16</v>
      </c>
      <c r="O5" s="3" t="s">
        <v>17</v>
      </c>
      <c r="P5" s="2" t="s">
        <v>18</v>
      </c>
      <c r="Q5" s="2" t="s">
        <v>19</v>
      </c>
      <c r="R5" s="3"/>
      <c r="S5" s="3"/>
      <c r="T5" s="3"/>
      <c r="U5" s="3"/>
      <c r="V5" s="3"/>
      <c r="W5" s="3"/>
      <c r="X5" s="3"/>
      <c r="Y5" s="3"/>
      <c r="Z5" s="3"/>
      <c r="AA5" s="3"/>
      <c r="BI5" s="11"/>
    </row>
    <row r="6" spans="1:61" s="12" customFormat="1" x14ac:dyDescent="0.2">
      <c r="A6" s="12" t="s">
        <v>20</v>
      </c>
      <c r="B6" s="12" t="s">
        <v>21</v>
      </c>
      <c r="C6" s="12" t="s">
        <v>21</v>
      </c>
      <c r="D6" s="12" t="s">
        <v>22</v>
      </c>
      <c r="E6" s="12" t="s">
        <v>23</v>
      </c>
      <c r="F6" s="12" t="s">
        <v>24</v>
      </c>
      <c r="G6" s="12">
        <v>1</v>
      </c>
      <c r="H6" s="12">
        <v>84</v>
      </c>
      <c r="I6" s="12">
        <v>136</v>
      </c>
      <c r="J6" s="12">
        <v>2</v>
      </c>
      <c r="K6" s="12">
        <f t="shared" ref="K6:K44" si="0">I6-J6</f>
        <v>134</v>
      </c>
      <c r="L6" s="13">
        <f t="shared" ref="L6:L44" si="1">H6/K6*100</f>
        <v>62.68656716417911</v>
      </c>
      <c r="M6" s="14" t="s">
        <v>25</v>
      </c>
      <c r="P6" s="15"/>
      <c r="AB6" s="16"/>
      <c r="AC6" s="16"/>
      <c r="AD6" s="16"/>
      <c r="AE6" s="16"/>
      <c r="AF6" s="16"/>
      <c r="AG6" s="16"/>
      <c r="AH6" s="16"/>
      <c r="AI6" s="16"/>
      <c r="AJ6" s="16"/>
      <c r="AK6" s="17"/>
      <c r="AL6" s="17"/>
      <c r="AM6" s="17"/>
      <c r="AN6" s="17"/>
      <c r="AO6" s="17"/>
      <c r="AP6" s="17"/>
      <c r="AQ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9"/>
    </row>
    <row r="7" spans="1:61" x14ac:dyDescent="0.2">
      <c r="G7">
        <v>2</v>
      </c>
      <c r="H7">
        <v>86</v>
      </c>
      <c r="I7">
        <v>127</v>
      </c>
      <c r="J7">
        <v>0</v>
      </c>
      <c r="K7">
        <f t="shared" si="0"/>
        <v>127</v>
      </c>
      <c r="L7" s="20">
        <f t="shared" si="1"/>
        <v>67.716535433070874</v>
      </c>
      <c r="M7" s="3" t="s">
        <v>25</v>
      </c>
      <c r="N7" s="21">
        <f>AVERAGE(L6:L8)</f>
        <v>65.350652519694009</v>
      </c>
      <c r="O7" s="21">
        <f>AVERAGE(L6:L8)</f>
        <v>65.350652519694009</v>
      </c>
      <c r="P7" s="2">
        <f>L6</f>
        <v>62.68656716417911</v>
      </c>
      <c r="AK7" s="22"/>
      <c r="AL7" s="22"/>
      <c r="AM7" s="22"/>
      <c r="AN7" s="22"/>
      <c r="AO7" s="22"/>
      <c r="AP7" s="22"/>
      <c r="AQ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3"/>
    </row>
    <row r="8" spans="1:61" s="24" customFormat="1" x14ac:dyDescent="0.2">
      <c r="G8" s="24">
        <v>3</v>
      </c>
      <c r="H8" s="24">
        <v>86</v>
      </c>
      <c r="I8" s="24">
        <v>136</v>
      </c>
      <c r="J8" s="24">
        <v>5</v>
      </c>
      <c r="K8" s="24">
        <f t="shared" si="0"/>
        <v>131</v>
      </c>
      <c r="L8" s="25">
        <f t="shared" si="1"/>
        <v>65.648854961832058</v>
      </c>
      <c r="M8" s="3" t="s">
        <v>25</v>
      </c>
      <c r="P8" s="26"/>
      <c r="AB8" s="27"/>
      <c r="AC8" s="27"/>
      <c r="AD8" s="27"/>
      <c r="AE8" s="27"/>
      <c r="AF8" s="27"/>
      <c r="AG8" s="27"/>
      <c r="AH8" s="27"/>
      <c r="AI8" s="27"/>
      <c r="AJ8" s="27"/>
      <c r="AK8" s="28"/>
      <c r="AL8" s="28"/>
      <c r="AM8" s="28"/>
      <c r="AN8" s="28"/>
      <c r="AO8" s="28"/>
      <c r="AP8" s="28"/>
      <c r="AQ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30"/>
    </row>
    <row r="9" spans="1:61" x14ac:dyDescent="0.2">
      <c r="A9" t="s">
        <v>26</v>
      </c>
      <c r="B9" t="s">
        <v>27</v>
      </c>
      <c r="C9" t="s">
        <v>27</v>
      </c>
      <c r="D9" t="s">
        <v>28</v>
      </c>
      <c r="E9" t="s">
        <v>29</v>
      </c>
      <c r="F9" t="s">
        <v>30</v>
      </c>
      <c r="G9">
        <v>1</v>
      </c>
      <c r="H9">
        <v>45</v>
      </c>
      <c r="I9">
        <v>48</v>
      </c>
      <c r="J9">
        <v>1</v>
      </c>
      <c r="K9">
        <f t="shared" si="0"/>
        <v>47</v>
      </c>
      <c r="L9" s="20">
        <f t="shared" si="1"/>
        <v>95.744680851063833</v>
      </c>
      <c r="M9" s="14" t="s">
        <v>25</v>
      </c>
      <c r="AK9" s="22"/>
      <c r="AL9" s="22"/>
      <c r="AM9" s="22"/>
      <c r="AN9" s="22"/>
      <c r="AO9" s="22"/>
      <c r="AP9" s="22"/>
      <c r="AQ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3"/>
    </row>
    <row r="10" spans="1:61" x14ac:dyDescent="0.2">
      <c r="G10">
        <v>2</v>
      </c>
      <c r="H10">
        <v>41</v>
      </c>
      <c r="I10">
        <v>44</v>
      </c>
      <c r="J10">
        <v>0</v>
      </c>
      <c r="K10">
        <f t="shared" si="0"/>
        <v>44</v>
      </c>
      <c r="L10" s="20">
        <f t="shared" si="1"/>
        <v>93.181818181818173</v>
      </c>
      <c r="M10" s="3" t="s">
        <v>25</v>
      </c>
      <c r="N10" s="21">
        <f>AVERAGE(L9:L11)</f>
        <v>94.318783259716895</v>
      </c>
      <c r="O10" s="21">
        <f>AVERAGE(L9:L11)</f>
        <v>94.318783259716895</v>
      </c>
      <c r="P10" s="2">
        <f>L9</f>
        <v>95.744680851063833</v>
      </c>
      <c r="AK10" s="22"/>
      <c r="AL10" s="22"/>
      <c r="AM10" s="22"/>
      <c r="AN10" s="22"/>
      <c r="AO10" s="22"/>
      <c r="AP10" s="22"/>
      <c r="AQ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3"/>
    </row>
    <row r="11" spans="1:61" s="24" customFormat="1" x14ac:dyDescent="0.2">
      <c r="G11" s="24">
        <v>3</v>
      </c>
      <c r="H11" s="24">
        <v>63</v>
      </c>
      <c r="I11" s="24">
        <v>67</v>
      </c>
      <c r="J11" s="24">
        <v>0</v>
      </c>
      <c r="K11" s="24">
        <f t="shared" si="0"/>
        <v>67</v>
      </c>
      <c r="L11" s="25">
        <f t="shared" si="1"/>
        <v>94.029850746268664</v>
      </c>
      <c r="M11" s="3" t="s">
        <v>25</v>
      </c>
      <c r="P11" s="26"/>
      <c r="AB11" s="27"/>
      <c r="AC11" s="27"/>
      <c r="AD11" s="27"/>
      <c r="AE11" s="27"/>
      <c r="AF11" s="27"/>
      <c r="AG11" s="27"/>
      <c r="AH11" s="27"/>
      <c r="AI11" s="27"/>
      <c r="AJ11" s="27"/>
      <c r="AK11" s="28"/>
      <c r="AL11" s="28"/>
      <c r="AM11" s="28"/>
      <c r="AN11" s="28"/>
      <c r="AO11" s="28"/>
      <c r="AP11" s="28"/>
      <c r="AQ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30"/>
    </row>
    <row r="12" spans="1:61" x14ac:dyDescent="0.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36</v>
      </c>
      <c r="G12">
        <v>1</v>
      </c>
      <c r="H12">
        <v>42</v>
      </c>
      <c r="I12">
        <v>46</v>
      </c>
      <c r="J12">
        <v>0</v>
      </c>
      <c r="K12">
        <f t="shared" si="0"/>
        <v>46</v>
      </c>
      <c r="L12" s="20">
        <f t="shared" si="1"/>
        <v>91.304347826086953</v>
      </c>
      <c r="M12" s="14" t="s">
        <v>25</v>
      </c>
      <c r="Q12" s="31" t="s">
        <v>37</v>
      </c>
      <c r="AK12" s="22"/>
      <c r="AL12" s="22"/>
      <c r="AM12" s="22"/>
      <c r="AN12" s="22"/>
      <c r="AO12" s="22"/>
      <c r="AP12" s="22"/>
      <c r="AQ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3"/>
    </row>
    <row r="13" spans="1:61" x14ac:dyDescent="0.2">
      <c r="G13">
        <v>2</v>
      </c>
      <c r="H13">
        <v>38</v>
      </c>
      <c r="I13">
        <v>43</v>
      </c>
      <c r="J13">
        <v>0</v>
      </c>
      <c r="K13">
        <f t="shared" si="0"/>
        <v>43</v>
      </c>
      <c r="L13" s="20">
        <f t="shared" si="1"/>
        <v>88.372093023255815</v>
      </c>
      <c r="M13" s="3" t="s">
        <v>25</v>
      </c>
      <c r="N13" s="21">
        <f>AVERAGE(L12:L14)</f>
        <v>84.714841985241918</v>
      </c>
      <c r="O13" s="21">
        <f>AVERAGE(L12:L13)</f>
        <v>89.838220424671391</v>
      </c>
      <c r="P13" s="2">
        <f>L12</f>
        <v>91.304347826086953</v>
      </c>
      <c r="AK13" s="22"/>
      <c r="AL13" s="22"/>
      <c r="AM13" s="22"/>
      <c r="AN13" s="22"/>
      <c r="AO13" s="22"/>
      <c r="AP13" s="22"/>
      <c r="AQ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3"/>
    </row>
    <row r="14" spans="1:61" x14ac:dyDescent="0.2">
      <c r="G14">
        <v>3</v>
      </c>
      <c r="H14">
        <v>35</v>
      </c>
      <c r="I14">
        <v>47</v>
      </c>
      <c r="J14">
        <v>0</v>
      </c>
      <c r="K14">
        <f t="shared" si="0"/>
        <v>47</v>
      </c>
      <c r="L14" s="2">
        <f t="shared" si="1"/>
        <v>74.468085106382972</v>
      </c>
      <c r="M14" s="3" t="s">
        <v>25</v>
      </c>
      <c r="AK14" s="22"/>
      <c r="AL14" s="22"/>
      <c r="AM14" s="22"/>
      <c r="AN14" s="22"/>
      <c r="AO14" s="22"/>
      <c r="AP14" s="22"/>
      <c r="AQ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3"/>
    </row>
    <row r="15" spans="1:61" s="12" customFormat="1" x14ac:dyDescent="0.2">
      <c r="A15" s="12" t="s">
        <v>38</v>
      </c>
      <c r="B15" s="12" t="s">
        <v>33</v>
      </c>
      <c r="C15" s="12" t="s">
        <v>39</v>
      </c>
      <c r="D15" s="12" t="s">
        <v>40</v>
      </c>
      <c r="E15" s="12" t="s">
        <v>41</v>
      </c>
      <c r="F15" s="12" t="s">
        <v>42</v>
      </c>
      <c r="G15" s="12">
        <v>1</v>
      </c>
      <c r="H15" s="12">
        <v>8</v>
      </c>
      <c r="I15" s="12">
        <v>27</v>
      </c>
      <c r="J15" s="12">
        <v>7</v>
      </c>
      <c r="K15" s="12">
        <f t="shared" si="0"/>
        <v>20</v>
      </c>
      <c r="L15" s="13">
        <f t="shared" si="1"/>
        <v>40</v>
      </c>
      <c r="M15" s="14" t="s">
        <v>25</v>
      </c>
      <c r="P15" s="15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AL15" s="17"/>
      <c r="AM15" s="17"/>
      <c r="AN15" s="17"/>
      <c r="AO15" s="17"/>
      <c r="AP15" s="17"/>
      <c r="AQ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9"/>
    </row>
    <row r="16" spans="1:61" x14ac:dyDescent="0.2">
      <c r="G16">
        <v>2</v>
      </c>
      <c r="H16">
        <v>10</v>
      </c>
      <c r="I16">
        <v>21</v>
      </c>
      <c r="J16">
        <v>2</v>
      </c>
      <c r="K16">
        <f t="shared" si="0"/>
        <v>19</v>
      </c>
      <c r="L16" s="20">
        <f t="shared" si="1"/>
        <v>52.631578947368418</v>
      </c>
      <c r="M16" s="3" t="s">
        <v>25</v>
      </c>
      <c r="N16" s="21">
        <f>AVERAGE(L15:L17)</f>
        <v>46.56346749226006</v>
      </c>
      <c r="O16" s="21">
        <f>AVERAGE(L15:L17)</f>
        <v>46.56346749226006</v>
      </c>
      <c r="P16" s="2">
        <f>L15</f>
        <v>40</v>
      </c>
      <c r="AK16" s="22"/>
      <c r="AL16" s="22"/>
      <c r="AM16" s="22"/>
      <c r="AN16" s="22"/>
      <c r="AO16" s="22"/>
      <c r="AP16" s="22"/>
      <c r="AQ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3"/>
    </row>
    <row r="17" spans="1:61" x14ac:dyDescent="0.2">
      <c r="G17">
        <v>3</v>
      </c>
      <c r="H17">
        <v>8</v>
      </c>
      <c r="I17">
        <v>17</v>
      </c>
      <c r="J17">
        <v>0</v>
      </c>
      <c r="K17">
        <f t="shared" si="0"/>
        <v>17</v>
      </c>
      <c r="L17" s="20">
        <f t="shared" si="1"/>
        <v>47.058823529411761</v>
      </c>
      <c r="M17" s="3" t="s">
        <v>25</v>
      </c>
      <c r="AK17" s="22"/>
      <c r="AL17" s="22"/>
      <c r="AM17" s="22"/>
      <c r="AN17" s="22"/>
      <c r="AO17" s="22"/>
      <c r="AP17" s="22"/>
      <c r="AQ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3"/>
    </row>
    <row r="18" spans="1:61" s="12" customFormat="1" x14ac:dyDescent="0.2">
      <c r="A18" s="12" t="s">
        <v>43</v>
      </c>
      <c r="B18" s="12" t="s">
        <v>44</v>
      </c>
      <c r="C18" s="12" t="s">
        <v>39</v>
      </c>
      <c r="D18" s="12" t="s">
        <v>45</v>
      </c>
      <c r="E18" s="12" t="s">
        <v>41</v>
      </c>
      <c r="F18" s="12" t="s">
        <v>46</v>
      </c>
      <c r="G18" s="12">
        <v>1</v>
      </c>
      <c r="H18" s="12">
        <v>11</v>
      </c>
      <c r="I18" s="12">
        <v>15</v>
      </c>
      <c r="J18" s="12">
        <v>0</v>
      </c>
      <c r="K18" s="12">
        <f t="shared" si="0"/>
        <v>15</v>
      </c>
      <c r="L18" s="13">
        <f t="shared" si="1"/>
        <v>73.333333333333329</v>
      </c>
      <c r="M18" s="14" t="s">
        <v>25</v>
      </c>
      <c r="P18" s="15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AL18" s="17"/>
      <c r="AM18" s="17"/>
      <c r="AN18" s="17"/>
      <c r="AO18" s="17"/>
      <c r="AP18" s="17"/>
      <c r="AQ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</row>
    <row r="19" spans="1:61" x14ac:dyDescent="0.2">
      <c r="G19">
        <v>2</v>
      </c>
      <c r="H19">
        <v>8</v>
      </c>
      <c r="I19">
        <v>11</v>
      </c>
      <c r="J19">
        <v>0</v>
      </c>
      <c r="K19">
        <f t="shared" si="0"/>
        <v>11</v>
      </c>
      <c r="L19" s="20">
        <f t="shared" si="1"/>
        <v>72.727272727272734</v>
      </c>
      <c r="M19" s="3" t="s">
        <v>25</v>
      </c>
      <c r="N19" s="21">
        <f>AVERAGE(L18:L20)</f>
        <v>70.909090909090907</v>
      </c>
      <c r="O19" s="21">
        <f>AVERAGE(L18:L19)</f>
        <v>73.030303030303031</v>
      </c>
      <c r="P19" s="2">
        <f>L18</f>
        <v>73.333333333333329</v>
      </c>
      <c r="AK19" s="22"/>
      <c r="AL19" s="22"/>
      <c r="AM19" s="22"/>
      <c r="AN19" s="22"/>
      <c r="AO19" s="22"/>
      <c r="AP19" s="22"/>
      <c r="AQ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3"/>
    </row>
    <row r="20" spans="1:61" x14ac:dyDescent="0.2">
      <c r="G20">
        <v>3</v>
      </c>
      <c r="H20">
        <v>8</v>
      </c>
      <c r="I20">
        <v>12</v>
      </c>
      <c r="J20">
        <v>0</v>
      </c>
      <c r="K20">
        <f t="shared" si="0"/>
        <v>12</v>
      </c>
      <c r="L20" s="2">
        <f t="shared" si="1"/>
        <v>66.666666666666657</v>
      </c>
      <c r="M20" s="3" t="s">
        <v>25</v>
      </c>
      <c r="AK20" s="22"/>
      <c r="AL20" s="22"/>
      <c r="AM20" s="22"/>
      <c r="AN20" s="22"/>
      <c r="AO20" s="22"/>
      <c r="AP20" s="22"/>
      <c r="AQ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3"/>
    </row>
    <row r="21" spans="1:61" s="12" customFormat="1" x14ac:dyDescent="0.2">
      <c r="A21" s="12" t="s">
        <v>47</v>
      </c>
      <c r="B21" s="12" t="s">
        <v>48</v>
      </c>
      <c r="C21" s="12" t="s">
        <v>49</v>
      </c>
      <c r="D21" s="12" t="s">
        <v>50</v>
      </c>
      <c r="E21" s="12" t="s">
        <v>51</v>
      </c>
      <c r="F21" s="12" t="s">
        <v>52</v>
      </c>
      <c r="G21" s="12">
        <v>1</v>
      </c>
      <c r="H21" s="12">
        <v>9</v>
      </c>
      <c r="I21" s="12">
        <v>20</v>
      </c>
      <c r="J21" s="12">
        <v>0</v>
      </c>
      <c r="K21" s="12">
        <f t="shared" si="0"/>
        <v>20</v>
      </c>
      <c r="L21" s="13">
        <f t="shared" si="1"/>
        <v>45</v>
      </c>
      <c r="M21" s="14" t="s">
        <v>25</v>
      </c>
      <c r="P21" s="15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AL21" s="17"/>
      <c r="AM21" s="17"/>
      <c r="AN21" s="17"/>
      <c r="AO21" s="17"/>
      <c r="AP21" s="17"/>
      <c r="AQ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</row>
    <row r="22" spans="1:61" x14ac:dyDescent="0.2">
      <c r="G22">
        <v>2</v>
      </c>
      <c r="H22">
        <v>13</v>
      </c>
      <c r="I22">
        <v>22</v>
      </c>
      <c r="J22">
        <v>2</v>
      </c>
      <c r="K22">
        <f t="shared" si="0"/>
        <v>20</v>
      </c>
      <c r="L22" s="2">
        <f t="shared" si="1"/>
        <v>65</v>
      </c>
      <c r="M22" s="3" t="s">
        <v>25</v>
      </c>
      <c r="N22" s="21">
        <f>AVERAGE(L21:L23)</f>
        <v>53.333333333333336</v>
      </c>
      <c r="O22" s="21">
        <f>AVERAGE(L21,L23)</f>
        <v>47.5</v>
      </c>
      <c r="P22" s="2">
        <f>L21</f>
        <v>45</v>
      </c>
      <c r="AK22" s="22"/>
      <c r="AL22" s="22"/>
      <c r="AM22" s="22"/>
      <c r="AN22" s="22"/>
      <c r="AO22" s="22"/>
      <c r="AP22" s="22"/>
      <c r="AQ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3"/>
    </row>
    <row r="23" spans="1:61" x14ac:dyDescent="0.2">
      <c r="G23">
        <v>3</v>
      </c>
      <c r="H23">
        <v>12</v>
      </c>
      <c r="I23">
        <v>26</v>
      </c>
      <c r="J23">
        <v>2</v>
      </c>
      <c r="K23">
        <f t="shared" si="0"/>
        <v>24</v>
      </c>
      <c r="L23" s="20">
        <f t="shared" si="1"/>
        <v>50</v>
      </c>
      <c r="M23" s="3" t="s">
        <v>25</v>
      </c>
      <c r="AK23" s="22"/>
      <c r="AL23" s="22"/>
      <c r="AM23" s="22"/>
      <c r="AN23" s="22"/>
      <c r="AO23" s="22"/>
      <c r="AP23" s="22"/>
      <c r="AQ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3"/>
    </row>
    <row r="24" spans="1:61" s="12" customFormat="1" x14ac:dyDescent="0.2">
      <c r="A24" s="12" t="s">
        <v>53</v>
      </c>
      <c r="B24" s="12" t="s">
        <v>54</v>
      </c>
      <c r="C24" s="12" t="s">
        <v>55</v>
      </c>
      <c r="D24" s="12" t="s">
        <v>56</v>
      </c>
      <c r="E24" s="12" t="s">
        <v>57</v>
      </c>
      <c r="F24" s="12" t="s">
        <v>58</v>
      </c>
      <c r="G24" s="12">
        <v>1</v>
      </c>
      <c r="H24" s="12">
        <v>59</v>
      </c>
      <c r="I24" s="12">
        <v>117</v>
      </c>
      <c r="J24" s="12">
        <v>0</v>
      </c>
      <c r="K24" s="12">
        <f t="shared" si="0"/>
        <v>117</v>
      </c>
      <c r="L24" s="13">
        <f t="shared" si="1"/>
        <v>50.427350427350426</v>
      </c>
      <c r="M24" s="32">
        <v>13</v>
      </c>
      <c r="P24" s="15"/>
      <c r="AB24" s="16"/>
      <c r="AC24" s="16"/>
      <c r="AD24" s="16"/>
      <c r="AE24" s="16"/>
      <c r="AF24" s="16"/>
      <c r="AG24" s="16"/>
      <c r="AH24" s="16"/>
      <c r="AI24" s="16"/>
      <c r="AJ24" s="16"/>
      <c r="AK24" s="17"/>
      <c r="AL24" s="17"/>
      <c r="AM24" s="17"/>
      <c r="AN24" s="17"/>
      <c r="AO24" s="17"/>
      <c r="AP24" s="17"/>
    </row>
    <row r="25" spans="1:61" x14ac:dyDescent="0.2">
      <c r="G25">
        <v>2</v>
      </c>
      <c r="H25">
        <v>38</v>
      </c>
      <c r="I25">
        <v>72</v>
      </c>
      <c r="J25">
        <v>1</v>
      </c>
      <c r="K25">
        <f t="shared" si="0"/>
        <v>71</v>
      </c>
      <c r="L25" s="20">
        <f t="shared" si="1"/>
        <v>53.521126760563376</v>
      </c>
      <c r="M25" s="33">
        <v>13</v>
      </c>
      <c r="N25" s="21">
        <f>AVERAGE(L24:L26)</f>
        <v>46.712984459463335</v>
      </c>
      <c r="O25" s="21">
        <f>AVERAGE(L24:L25)</f>
        <v>51.974238593956898</v>
      </c>
      <c r="P25" s="2">
        <f>L24</f>
        <v>50.427350427350426</v>
      </c>
      <c r="AK25" s="22"/>
      <c r="AL25" s="22"/>
      <c r="AM25" s="22"/>
      <c r="AN25" s="22"/>
      <c r="AO25" s="22"/>
      <c r="AP25" s="22"/>
    </row>
    <row r="26" spans="1:61" x14ac:dyDescent="0.2">
      <c r="G26">
        <v>3</v>
      </c>
      <c r="H26">
        <v>38</v>
      </c>
      <c r="I26">
        <v>106</v>
      </c>
      <c r="J26">
        <v>1</v>
      </c>
      <c r="K26">
        <f t="shared" si="0"/>
        <v>105</v>
      </c>
      <c r="L26" s="2">
        <f t="shared" si="1"/>
        <v>36.19047619047619</v>
      </c>
      <c r="M26" s="33">
        <v>20</v>
      </c>
      <c r="AK26" s="22"/>
      <c r="AL26" s="22"/>
      <c r="AM26" s="22"/>
      <c r="AN26" s="22"/>
      <c r="AO26" s="22"/>
      <c r="AP26" s="22"/>
    </row>
    <row r="27" spans="1:61" s="12" customFormat="1" x14ac:dyDescent="0.2">
      <c r="A27" s="12" t="s">
        <v>59</v>
      </c>
      <c r="B27" s="12" t="s">
        <v>49</v>
      </c>
      <c r="C27" s="12" t="s">
        <v>60</v>
      </c>
      <c r="D27" s="12" t="s">
        <v>61</v>
      </c>
      <c r="E27" s="12" t="s">
        <v>62</v>
      </c>
      <c r="F27" s="12" t="s">
        <v>63</v>
      </c>
      <c r="G27" s="12">
        <v>1</v>
      </c>
      <c r="H27" s="12">
        <v>64</v>
      </c>
      <c r="I27" s="12">
        <v>84</v>
      </c>
      <c r="J27" s="12">
        <v>0</v>
      </c>
      <c r="K27" s="12">
        <f t="shared" si="0"/>
        <v>84</v>
      </c>
      <c r="L27" s="13">
        <f t="shared" si="1"/>
        <v>76.19047619047619</v>
      </c>
      <c r="M27" s="14" t="s">
        <v>25</v>
      </c>
      <c r="P27" s="15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AL27" s="17"/>
      <c r="AM27" s="17"/>
      <c r="AN27" s="17"/>
      <c r="AO27" s="17"/>
      <c r="AP27" s="17"/>
      <c r="AQ27" s="18"/>
    </row>
    <row r="28" spans="1:61" x14ac:dyDescent="0.2">
      <c r="G28">
        <v>2</v>
      </c>
      <c r="H28">
        <v>93</v>
      </c>
      <c r="I28">
        <v>121</v>
      </c>
      <c r="J28">
        <v>2</v>
      </c>
      <c r="K28">
        <f t="shared" si="0"/>
        <v>119</v>
      </c>
      <c r="L28" s="20">
        <f t="shared" si="1"/>
        <v>78.151260504201687</v>
      </c>
      <c r="M28" s="3" t="s">
        <v>25</v>
      </c>
      <c r="N28" s="21">
        <f>AVERAGE(L27:L29)</f>
        <v>77.057001662453601</v>
      </c>
      <c r="O28" s="21">
        <f>AVERAGE(L27:L29)</f>
        <v>77.057001662453601</v>
      </c>
      <c r="P28" s="2">
        <f>L27</f>
        <v>76.19047619047619</v>
      </c>
      <c r="AK28" s="22"/>
      <c r="AL28" s="22"/>
      <c r="AM28" s="22"/>
      <c r="AN28" s="22"/>
      <c r="AO28" s="22"/>
      <c r="AP28" s="22"/>
      <c r="AQ28" s="21"/>
    </row>
    <row r="29" spans="1:61" x14ac:dyDescent="0.2">
      <c r="G29">
        <v>3</v>
      </c>
      <c r="H29">
        <v>63</v>
      </c>
      <c r="I29">
        <v>82</v>
      </c>
      <c r="J29">
        <v>0</v>
      </c>
      <c r="K29">
        <f t="shared" si="0"/>
        <v>82</v>
      </c>
      <c r="L29" s="20">
        <f t="shared" si="1"/>
        <v>76.829268292682926</v>
      </c>
      <c r="M29" s="3" t="s">
        <v>25</v>
      </c>
      <c r="AK29" s="22"/>
      <c r="AL29" s="22"/>
      <c r="AM29" s="22"/>
      <c r="AN29" s="22"/>
      <c r="AO29" s="22"/>
      <c r="AP29" s="22"/>
      <c r="AQ29" s="21"/>
    </row>
    <row r="30" spans="1:61" s="12" customFormat="1" x14ac:dyDescent="0.2">
      <c r="A30" s="12" t="s">
        <v>64</v>
      </c>
      <c r="B30" s="12" t="s">
        <v>60</v>
      </c>
      <c r="C30" s="34" t="s">
        <v>49</v>
      </c>
      <c r="D30" s="34" t="s">
        <v>65</v>
      </c>
      <c r="E30" s="34" t="s">
        <v>51</v>
      </c>
      <c r="F30" s="34" t="s">
        <v>66</v>
      </c>
      <c r="G30" s="34">
        <v>1</v>
      </c>
      <c r="H30" s="34">
        <v>7</v>
      </c>
      <c r="I30" s="34">
        <v>18</v>
      </c>
      <c r="J30" s="34">
        <v>0</v>
      </c>
      <c r="K30" s="34">
        <f t="shared" si="0"/>
        <v>18</v>
      </c>
      <c r="L30" s="35">
        <f t="shared" si="1"/>
        <v>38.888888888888893</v>
      </c>
      <c r="M30" s="36">
        <v>10</v>
      </c>
      <c r="N30" s="34"/>
      <c r="O30" s="34"/>
      <c r="P30" s="35"/>
      <c r="Q30" s="34"/>
      <c r="AB30" s="16"/>
      <c r="AC30" s="16"/>
      <c r="AD30" s="16"/>
      <c r="AE30" s="16"/>
      <c r="AF30" s="16"/>
      <c r="AG30" s="16"/>
      <c r="AH30" s="16"/>
      <c r="AI30" s="16"/>
      <c r="AJ30" s="16"/>
    </row>
    <row r="31" spans="1:61" x14ac:dyDescent="0.2">
      <c r="C31" s="37"/>
      <c r="D31" s="37"/>
      <c r="E31" s="37"/>
      <c r="F31" s="37"/>
      <c r="G31" s="37">
        <v>2</v>
      </c>
      <c r="H31" s="37">
        <v>5</v>
      </c>
      <c r="I31" s="37">
        <v>9</v>
      </c>
      <c r="J31" s="37">
        <v>0</v>
      </c>
      <c r="K31" s="37">
        <f t="shared" si="0"/>
        <v>9</v>
      </c>
      <c r="L31" s="38">
        <f t="shared" si="1"/>
        <v>55.555555555555557</v>
      </c>
      <c r="M31" s="39">
        <v>3</v>
      </c>
      <c r="N31" s="40">
        <f>AVERAGE(L30:L32)</f>
        <v>52.693602693602692</v>
      </c>
      <c r="O31" s="40">
        <f>AVERAGE(L31:L32)</f>
        <v>59.595959595959599</v>
      </c>
      <c r="P31" s="41">
        <f>L30</f>
        <v>38.888888888888893</v>
      </c>
      <c r="Q31" s="37" t="s">
        <v>67</v>
      </c>
    </row>
    <row r="32" spans="1:61" x14ac:dyDescent="0.2">
      <c r="C32" s="37"/>
      <c r="D32" s="37"/>
      <c r="E32" s="37"/>
      <c r="F32" s="37"/>
      <c r="G32" s="37">
        <v>3</v>
      </c>
      <c r="H32" s="37">
        <v>14</v>
      </c>
      <c r="I32" s="37">
        <v>22</v>
      </c>
      <c r="J32" s="37">
        <v>0</v>
      </c>
      <c r="K32" s="37">
        <f t="shared" si="0"/>
        <v>22</v>
      </c>
      <c r="L32" s="38">
        <f t="shared" si="1"/>
        <v>63.636363636363633</v>
      </c>
      <c r="M32" s="39">
        <v>8</v>
      </c>
      <c r="N32" s="37"/>
      <c r="O32" s="37"/>
      <c r="P32" s="41"/>
      <c r="Q32" s="37"/>
    </row>
    <row r="33" spans="1:43" s="12" customFormat="1" x14ac:dyDescent="0.2">
      <c r="A33" s="12" t="s">
        <v>68</v>
      </c>
      <c r="B33" s="42" t="s">
        <v>60</v>
      </c>
      <c r="C33" s="12" t="s">
        <v>49</v>
      </c>
      <c r="D33" s="12" t="s">
        <v>65</v>
      </c>
      <c r="E33" s="12" t="s">
        <v>51</v>
      </c>
      <c r="F33" s="12" t="s">
        <v>66</v>
      </c>
      <c r="G33" s="12">
        <v>1</v>
      </c>
      <c r="H33" s="12">
        <v>107</v>
      </c>
      <c r="I33" s="12">
        <v>156</v>
      </c>
      <c r="J33" s="12">
        <v>0</v>
      </c>
      <c r="K33" s="12">
        <f t="shared" si="0"/>
        <v>156</v>
      </c>
      <c r="L33" s="13">
        <f t="shared" si="1"/>
        <v>68.589743589743591</v>
      </c>
      <c r="M33" s="32">
        <v>44</v>
      </c>
      <c r="P33" s="15"/>
      <c r="AB33" s="16"/>
      <c r="AC33" s="16"/>
      <c r="AD33" s="16"/>
      <c r="AE33" s="16"/>
      <c r="AF33" s="16"/>
      <c r="AG33" s="16"/>
      <c r="AH33" s="16"/>
      <c r="AI33" s="16"/>
      <c r="AJ33" s="16"/>
    </row>
    <row r="34" spans="1:43" x14ac:dyDescent="0.2">
      <c r="G34">
        <v>2</v>
      </c>
      <c r="H34">
        <v>98</v>
      </c>
      <c r="I34">
        <v>163</v>
      </c>
      <c r="J34">
        <v>0</v>
      </c>
      <c r="K34">
        <f t="shared" si="0"/>
        <v>163</v>
      </c>
      <c r="L34" s="2">
        <f t="shared" si="1"/>
        <v>60.122699386503065</v>
      </c>
      <c r="M34" s="33">
        <v>62</v>
      </c>
      <c r="N34" s="21">
        <f>AVERAGE(L33:L35)</f>
        <v>65.651895406496635</v>
      </c>
      <c r="O34" s="21">
        <f>AVERAGE(L33,L35)</f>
        <v>68.41649341649341</v>
      </c>
      <c r="P34" s="2">
        <f>L33</f>
        <v>68.589743589743591</v>
      </c>
    </row>
    <row r="35" spans="1:43" x14ac:dyDescent="0.2">
      <c r="G35">
        <v>3</v>
      </c>
      <c r="H35">
        <v>101</v>
      </c>
      <c r="I35">
        <v>148</v>
      </c>
      <c r="J35">
        <v>0</v>
      </c>
      <c r="K35">
        <f t="shared" si="0"/>
        <v>148</v>
      </c>
      <c r="L35" s="20">
        <f t="shared" si="1"/>
        <v>68.243243243243242</v>
      </c>
      <c r="M35" s="33">
        <v>40</v>
      </c>
    </row>
    <row r="36" spans="1:43" s="12" customFormat="1" x14ac:dyDescent="0.2">
      <c r="A36" s="12" t="s">
        <v>69</v>
      </c>
      <c r="B36" s="12" t="s">
        <v>49</v>
      </c>
      <c r="C36" s="12" t="s">
        <v>21</v>
      </c>
      <c r="D36" s="12" t="s">
        <v>61</v>
      </c>
      <c r="E36" s="12" t="s">
        <v>23</v>
      </c>
      <c r="F36" s="12" t="s">
        <v>70</v>
      </c>
      <c r="G36" s="12">
        <v>1</v>
      </c>
      <c r="H36" s="12">
        <v>16</v>
      </c>
      <c r="I36" s="12">
        <v>73</v>
      </c>
      <c r="J36" s="12">
        <v>1</v>
      </c>
      <c r="K36" s="12">
        <f t="shared" si="0"/>
        <v>72</v>
      </c>
      <c r="L36" s="15">
        <f t="shared" si="1"/>
        <v>22.222222222222221</v>
      </c>
      <c r="M36" s="32">
        <v>0</v>
      </c>
      <c r="P36" s="15"/>
      <c r="AB36" s="16"/>
      <c r="AC36" s="16"/>
      <c r="AD36" s="16"/>
      <c r="AE36" s="16"/>
      <c r="AF36" s="16"/>
      <c r="AG36" s="16"/>
      <c r="AH36" s="16"/>
      <c r="AI36" s="16"/>
      <c r="AJ36" s="16"/>
      <c r="AQ36" s="18"/>
    </row>
    <row r="37" spans="1:43" x14ac:dyDescent="0.2">
      <c r="G37">
        <v>2</v>
      </c>
      <c r="H37">
        <v>30</v>
      </c>
      <c r="I37">
        <v>113</v>
      </c>
      <c r="J37">
        <v>4</v>
      </c>
      <c r="K37">
        <f t="shared" si="0"/>
        <v>109</v>
      </c>
      <c r="L37" s="20">
        <f t="shared" si="1"/>
        <v>27.522935779816514</v>
      </c>
      <c r="M37" s="33">
        <v>4</v>
      </c>
      <c r="N37" s="21">
        <f>AVERAGE(L36:L38)</f>
        <v>26.581719334012913</v>
      </c>
      <c r="O37" s="21">
        <f>AVERAGE(L37:L38)</f>
        <v>28.761467889908257</v>
      </c>
      <c r="P37" s="2">
        <f>L36</f>
        <v>22.222222222222221</v>
      </c>
      <c r="AQ37" s="21"/>
    </row>
    <row r="38" spans="1:43" x14ac:dyDescent="0.2">
      <c r="G38">
        <v>3</v>
      </c>
      <c r="H38">
        <v>36</v>
      </c>
      <c r="I38">
        <v>121</v>
      </c>
      <c r="J38">
        <v>1</v>
      </c>
      <c r="K38">
        <f t="shared" si="0"/>
        <v>120</v>
      </c>
      <c r="L38" s="20">
        <f t="shared" si="1"/>
        <v>30</v>
      </c>
      <c r="M38" s="3" t="s">
        <v>25</v>
      </c>
      <c r="AQ38" s="21"/>
    </row>
    <row r="39" spans="1:43" s="12" customFormat="1" x14ac:dyDescent="0.2">
      <c r="A39" s="12" t="s">
        <v>71</v>
      </c>
      <c r="B39" s="12" t="s">
        <v>55</v>
      </c>
      <c r="C39" s="12" t="s">
        <v>27</v>
      </c>
      <c r="D39" s="12" t="s">
        <v>72</v>
      </c>
      <c r="E39" s="12" t="s">
        <v>29</v>
      </c>
      <c r="F39" s="12" t="s">
        <v>73</v>
      </c>
      <c r="G39" s="12">
        <v>1</v>
      </c>
      <c r="H39" s="12">
        <v>3</v>
      </c>
      <c r="I39" s="12">
        <v>21</v>
      </c>
      <c r="J39" s="12">
        <v>1</v>
      </c>
      <c r="K39" s="12">
        <f t="shared" si="0"/>
        <v>20</v>
      </c>
      <c r="L39" s="13">
        <f t="shared" si="1"/>
        <v>15</v>
      </c>
      <c r="M39" s="14" t="s">
        <v>25</v>
      </c>
      <c r="P39" s="15"/>
      <c r="AB39" s="16"/>
      <c r="AC39" s="16"/>
      <c r="AD39" s="16"/>
      <c r="AE39" s="16"/>
      <c r="AF39" s="16"/>
      <c r="AG39" s="16"/>
      <c r="AH39" s="16"/>
      <c r="AI39" s="16"/>
      <c r="AJ39" s="16"/>
    </row>
    <row r="40" spans="1:43" x14ac:dyDescent="0.2">
      <c r="G40">
        <v>2</v>
      </c>
      <c r="H40">
        <v>2</v>
      </c>
      <c r="I40">
        <v>31</v>
      </c>
      <c r="J40">
        <v>1</v>
      </c>
      <c r="K40">
        <f t="shared" si="0"/>
        <v>30</v>
      </c>
      <c r="L40" s="2">
        <f t="shared" si="1"/>
        <v>6.666666666666667</v>
      </c>
      <c r="M40" s="3" t="s">
        <v>25</v>
      </c>
      <c r="N40" s="21">
        <f>AVERAGE(L39:L41)</f>
        <v>12.485380116959064</v>
      </c>
      <c r="O40" s="21">
        <f>AVERAGE(L39,L41)</f>
        <v>15.394736842105264</v>
      </c>
      <c r="P40" s="2">
        <f>L39</f>
        <v>15</v>
      </c>
    </row>
    <row r="41" spans="1:43" x14ac:dyDescent="0.2">
      <c r="G41">
        <v>3</v>
      </c>
      <c r="H41">
        <v>3</v>
      </c>
      <c r="I41">
        <v>28</v>
      </c>
      <c r="J41">
        <v>9</v>
      </c>
      <c r="K41">
        <f t="shared" si="0"/>
        <v>19</v>
      </c>
      <c r="L41" s="20">
        <f t="shared" si="1"/>
        <v>15.789473684210526</v>
      </c>
      <c r="M41" s="3" t="s">
        <v>25</v>
      </c>
    </row>
    <row r="42" spans="1:43" s="12" customFormat="1" x14ac:dyDescent="0.2">
      <c r="A42" s="12" t="s">
        <v>74</v>
      </c>
      <c r="B42" s="12" t="s">
        <v>75</v>
      </c>
      <c r="C42" s="12" t="s">
        <v>33</v>
      </c>
      <c r="D42" s="12" t="s">
        <v>76</v>
      </c>
      <c r="E42" s="12" t="s">
        <v>35</v>
      </c>
      <c r="F42" s="12" t="s">
        <v>77</v>
      </c>
      <c r="G42" s="12">
        <v>1</v>
      </c>
      <c r="H42" s="12">
        <v>11</v>
      </c>
      <c r="I42" s="12">
        <v>161</v>
      </c>
      <c r="J42" s="12">
        <v>3</v>
      </c>
      <c r="K42" s="12">
        <f t="shared" si="0"/>
        <v>158</v>
      </c>
      <c r="L42" s="13">
        <f t="shared" si="1"/>
        <v>6.962025316455696</v>
      </c>
      <c r="M42" s="14" t="s">
        <v>25</v>
      </c>
      <c r="P42" s="15"/>
      <c r="AB42" s="16"/>
      <c r="AC42" s="16"/>
      <c r="AD42" s="16"/>
      <c r="AE42" s="16"/>
      <c r="AF42" s="16"/>
      <c r="AG42" s="16"/>
      <c r="AH42" s="16"/>
      <c r="AI42" s="16"/>
      <c r="AJ42" s="16"/>
      <c r="AQ42" s="18"/>
    </row>
    <row r="43" spans="1:43" x14ac:dyDescent="0.2">
      <c r="G43">
        <v>2</v>
      </c>
      <c r="H43" s="43">
        <v>10</v>
      </c>
      <c r="I43">
        <v>156</v>
      </c>
      <c r="J43">
        <v>2</v>
      </c>
      <c r="K43">
        <f t="shared" si="0"/>
        <v>154</v>
      </c>
      <c r="L43" s="20">
        <f t="shared" si="1"/>
        <v>6.4935064935064926</v>
      </c>
      <c r="M43" s="3" t="s">
        <v>25</v>
      </c>
      <c r="N43" s="21">
        <f>AVERAGE(L42:L44)</f>
        <v>5.675653460463586</v>
      </c>
      <c r="O43" s="21">
        <f>AVERAGE(L42:L43)</f>
        <v>6.7277659049810943</v>
      </c>
      <c r="P43" s="2">
        <f>L42</f>
        <v>6.962025316455696</v>
      </c>
      <c r="AQ43" s="21"/>
    </row>
    <row r="44" spans="1:43" x14ac:dyDescent="0.2">
      <c r="G44">
        <v>3</v>
      </c>
      <c r="H44">
        <v>5</v>
      </c>
      <c r="I44">
        <v>141</v>
      </c>
      <c r="J44">
        <v>1</v>
      </c>
      <c r="K44">
        <f t="shared" si="0"/>
        <v>140</v>
      </c>
      <c r="L44" s="2">
        <f t="shared" si="1"/>
        <v>3.5714285714285712</v>
      </c>
      <c r="M44" s="3" t="s">
        <v>25</v>
      </c>
      <c r="AQ44" s="21"/>
    </row>
    <row r="45" spans="1:43" x14ac:dyDescent="0.2">
      <c r="AQ45" s="21"/>
    </row>
    <row r="46" spans="1:43" x14ac:dyDescent="0.2">
      <c r="AQ46" s="21"/>
    </row>
    <row r="47" spans="1:43" x14ac:dyDescent="0.2">
      <c r="AQ47" s="21"/>
    </row>
    <row r="48" spans="1:43" x14ac:dyDescent="0.2">
      <c r="AQ48" s="21"/>
    </row>
    <row r="49" spans="43:43" x14ac:dyDescent="0.2">
      <c r="AQ49" s="21"/>
    </row>
    <row r="50" spans="43:43" x14ac:dyDescent="0.2">
      <c r="AQ50" s="21"/>
    </row>
    <row r="51" spans="43:43" x14ac:dyDescent="0.2">
      <c r="AQ51" s="21"/>
    </row>
  </sheetData>
  <mergeCells count="1">
    <mergeCell ref="AT1:B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49"/>
  <sheetViews>
    <sheetView topLeftCell="A19" zoomScale="150" zoomScaleNormal="150" workbookViewId="0">
      <selection activeCell="O42" sqref="O42"/>
    </sheetView>
  </sheetViews>
  <sheetFormatPr baseColWidth="10" defaultColWidth="8.83203125" defaultRowHeight="15" x14ac:dyDescent="0.2"/>
  <cols>
    <col min="4" max="5" width="11.1640625" customWidth="1"/>
    <col min="7" max="7" width="7.83203125" customWidth="1"/>
    <col min="8" max="8" width="7" customWidth="1"/>
    <col min="11" max="11" width="10" customWidth="1"/>
    <col min="12" max="12" width="8.83203125" style="2"/>
    <col min="13" max="13" width="10" style="3" customWidth="1"/>
    <col min="15" max="15" width="59.1640625" customWidth="1"/>
    <col min="16" max="16" width="10.83203125" customWidth="1"/>
    <col min="17" max="17" width="9.5" customWidth="1"/>
    <col min="22" max="22" width="9.83203125" customWidth="1"/>
    <col min="26" max="26" width="6.83203125" style="4" customWidth="1"/>
    <col min="27" max="27" width="8" style="4" customWidth="1"/>
    <col min="28" max="28" width="9.1640625" style="4" customWidth="1"/>
    <col min="29" max="29" width="16.33203125" style="4" customWidth="1"/>
    <col min="30" max="30" width="16.6640625" style="4" customWidth="1"/>
    <col min="31" max="31" width="23.33203125" style="4" customWidth="1"/>
    <col min="32" max="32" width="13.6640625" style="4" customWidth="1"/>
    <col min="33" max="33" width="16.83203125" style="4" customWidth="1"/>
    <col min="34" max="34" width="9.5" style="4" customWidth="1"/>
    <col min="35" max="35" width="10.33203125" customWidth="1"/>
    <col min="36" max="36" width="14.5" customWidth="1"/>
    <col min="42" max="42" width="47" customWidth="1"/>
  </cols>
  <sheetData>
    <row r="1" spans="1:59" x14ac:dyDescent="0.2">
      <c r="A1" t="s">
        <v>0</v>
      </c>
      <c r="I1" s="5"/>
      <c r="J1" s="5"/>
      <c r="K1" s="5"/>
      <c r="L1" s="5"/>
      <c r="M1" s="6"/>
      <c r="N1" s="5"/>
      <c r="O1" s="7" t="s">
        <v>78</v>
      </c>
      <c r="P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</row>
    <row r="2" spans="1:59" x14ac:dyDescent="0.2">
      <c r="B2" t="s">
        <v>3</v>
      </c>
      <c r="C2" t="s">
        <v>3</v>
      </c>
      <c r="I2" s="6"/>
      <c r="J2" s="6"/>
      <c r="K2" s="6"/>
      <c r="L2" s="9"/>
      <c r="M2" s="6"/>
      <c r="N2" s="10">
        <v>2</v>
      </c>
      <c r="O2" s="8" t="s">
        <v>79</v>
      </c>
      <c r="P2" s="6"/>
      <c r="Q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I2" s="6"/>
      <c r="AJ2" s="6"/>
      <c r="AK2" s="6"/>
      <c r="AL2" s="6"/>
      <c r="AM2" s="6"/>
      <c r="AN2" s="6"/>
      <c r="AO2" s="6"/>
      <c r="AP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</row>
    <row r="3" spans="1:59" x14ac:dyDescent="0.2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10</v>
      </c>
      <c r="I3" s="3" t="s">
        <v>11</v>
      </c>
      <c r="J3" s="3" t="s">
        <v>12</v>
      </c>
      <c r="K3" s="3" t="s">
        <v>80</v>
      </c>
      <c r="L3" s="2" t="s">
        <v>14</v>
      </c>
      <c r="M3" s="3" t="s">
        <v>15</v>
      </c>
      <c r="N3" s="3" t="s">
        <v>16</v>
      </c>
      <c r="O3" s="2" t="s">
        <v>19</v>
      </c>
      <c r="P3" s="3"/>
      <c r="Q3" s="3"/>
      <c r="R3" s="3"/>
      <c r="S3" s="3"/>
      <c r="T3" s="3"/>
      <c r="U3" s="3"/>
      <c r="V3" s="3"/>
      <c r="W3" s="3"/>
      <c r="X3" s="3"/>
      <c r="Y3" s="3"/>
      <c r="BG3" s="11"/>
    </row>
    <row r="4" spans="1:59" s="12" customFormat="1" x14ac:dyDescent="0.2">
      <c r="A4" s="12" t="s">
        <v>20</v>
      </c>
      <c r="B4" s="12" t="s">
        <v>21</v>
      </c>
      <c r="C4" s="12" t="s">
        <v>21</v>
      </c>
      <c r="D4" s="12" t="s">
        <v>22</v>
      </c>
      <c r="E4" s="12" t="s">
        <v>23</v>
      </c>
      <c r="F4" s="12" t="s">
        <v>24</v>
      </c>
      <c r="G4" s="12">
        <v>1</v>
      </c>
      <c r="H4" s="12">
        <v>84</v>
      </c>
      <c r="I4" s="12">
        <v>136</v>
      </c>
      <c r="J4" s="12">
        <v>2</v>
      </c>
      <c r="K4" s="12">
        <f t="shared" ref="K4:K42" si="0">I4-J4+M4</f>
        <v>134</v>
      </c>
      <c r="L4" s="13">
        <f t="shared" ref="L4:L42" si="1">H4/K4*100</f>
        <v>62.68656716417911</v>
      </c>
      <c r="M4" s="14">
        <v>0</v>
      </c>
      <c r="Z4" s="16"/>
      <c r="AA4" s="16"/>
      <c r="AB4" s="16"/>
      <c r="AC4" s="16"/>
      <c r="AD4" s="16"/>
      <c r="AE4" s="16"/>
      <c r="AF4" s="16"/>
      <c r="AG4" s="16"/>
      <c r="AH4" s="16"/>
      <c r="AI4" s="17"/>
      <c r="AJ4" s="17"/>
      <c r="AK4" s="17"/>
      <c r="AL4" s="17"/>
      <c r="AM4" s="17"/>
      <c r="AN4" s="17"/>
      <c r="AO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9"/>
    </row>
    <row r="5" spans="1:59" x14ac:dyDescent="0.2">
      <c r="G5">
        <v>2</v>
      </c>
      <c r="H5">
        <v>86</v>
      </c>
      <c r="I5">
        <v>127</v>
      </c>
      <c r="J5">
        <v>0</v>
      </c>
      <c r="K5">
        <f t="shared" si="0"/>
        <v>127</v>
      </c>
      <c r="L5" s="20">
        <f t="shared" si="1"/>
        <v>67.716535433070874</v>
      </c>
      <c r="M5" s="3">
        <v>0</v>
      </c>
      <c r="N5" s="21">
        <f>AVERAGE(L4:L6)</f>
        <v>65.350652519694009</v>
      </c>
      <c r="AI5" s="22"/>
      <c r="AJ5" s="22"/>
      <c r="AK5" s="22"/>
      <c r="AL5" s="22"/>
      <c r="AM5" s="22"/>
      <c r="AN5" s="22"/>
      <c r="AO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3"/>
    </row>
    <row r="6" spans="1:59" s="24" customFormat="1" x14ac:dyDescent="0.2">
      <c r="G6" s="24">
        <v>3</v>
      </c>
      <c r="H6" s="24">
        <v>86</v>
      </c>
      <c r="I6" s="24">
        <v>136</v>
      </c>
      <c r="J6" s="24">
        <v>5</v>
      </c>
      <c r="K6" s="24">
        <f t="shared" si="0"/>
        <v>131</v>
      </c>
      <c r="L6" s="25">
        <f t="shared" si="1"/>
        <v>65.648854961832058</v>
      </c>
      <c r="M6" s="44">
        <v>0</v>
      </c>
      <c r="Z6" s="27"/>
      <c r="AA6" s="27"/>
      <c r="AB6" s="27"/>
      <c r="AC6" s="27"/>
      <c r="AD6" s="27"/>
      <c r="AE6" s="27"/>
      <c r="AF6" s="27"/>
      <c r="AG6" s="27"/>
      <c r="AH6" s="27"/>
      <c r="AI6" s="28"/>
      <c r="AJ6" s="28"/>
      <c r="AK6" s="28"/>
      <c r="AL6" s="28"/>
      <c r="AM6" s="28"/>
      <c r="AN6" s="28"/>
      <c r="AO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30"/>
    </row>
    <row r="7" spans="1:59" x14ac:dyDescent="0.2">
      <c r="A7" t="s">
        <v>26</v>
      </c>
      <c r="B7" t="s">
        <v>27</v>
      </c>
      <c r="C7" t="s">
        <v>27</v>
      </c>
      <c r="D7" t="s">
        <v>28</v>
      </c>
      <c r="E7" t="s">
        <v>29</v>
      </c>
      <c r="F7" t="s">
        <v>30</v>
      </c>
      <c r="G7">
        <v>1</v>
      </c>
      <c r="H7">
        <v>45</v>
      </c>
      <c r="I7">
        <v>48</v>
      </c>
      <c r="J7">
        <v>1</v>
      </c>
      <c r="K7">
        <f t="shared" si="0"/>
        <v>47</v>
      </c>
      <c r="L7" s="20">
        <f t="shared" si="1"/>
        <v>95.744680851063833</v>
      </c>
      <c r="M7" s="14">
        <v>0</v>
      </c>
      <c r="AI7" s="22"/>
      <c r="AJ7" s="22"/>
      <c r="AK7" s="22"/>
      <c r="AL7" s="22"/>
      <c r="AM7" s="22"/>
      <c r="AN7" s="22"/>
      <c r="AO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3"/>
    </row>
    <row r="8" spans="1:59" x14ac:dyDescent="0.2">
      <c r="G8">
        <v>2</v>
      </c>
      <c r="H8">
        <v>41</v>
      </c>
      <c r="I8">
        <v>44</v>
      </c>
      <c r="J8">
        <v>0</v>
      </c>
      <c r="K8">
        <f t="shared" si="0"/>
        <v>44</v>
      </c>
      <c r="L8" s="20">
        <f t="shared" si="1"/>
        <v>93.181818181818173</v>
      </c>
      <c r="M8" s="3">
        <v>0</v>
      </c>
      <c r="N8" s="21">
        <f>AVERAGE(L7:L9)</f>
        <v>94.318783259716895</v>
      </c>
      <c r="AI8" s="22"/>
      <c r="AJ8" s="22"/>
      <c r="AK8" s="22"/>
      <c r="AL8" s="22"/>
      <c r="AM8" s="22"/>
      <c r="AN8" s="22"/>
      <c r="AO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3"/>
    </row>
    <row r="9" spans="1:59" s="24" customFormat="1" x14ac:dyDescent="0.2">
      <c r="G9" s="24">
        <v>3</v>
      </c>
      <c r="H9" s="24">
        <v>63</v>
      </c>
      <c r="I9" s="24">
        <v>67</v>
      </c>
      <c r="J9" s="24">
        <v>0</v>
      </c>
      <c r="K9">
        <f t="shared" si="0"/>
        <v>67</v>
      </c>
      <c r="L9" s="25">
        <f t="shared" si="1"/>
        <v>94.029850746268664</v>
      </c>
      <c r="M9" s="44">
        <v>0</v>
      </c>
      <c r="Z9" s="27"/>
      <c r="AA9" s="27"/>
      <c r="AB9" s="27"/>
      <c r="AC9" s="27"/>
      <c r="AD9" s="27"/>
      <c r="AE9" s="27"/>
      <c r="AF9" s="27"/>
      <c r="AG9" s="27"/>
      <c r="AH9" s="27"/>
      <c r="AI9" s="28"/>
      <c r="AJ9" s="28"/>
      <c r="AK9" s="28"/>
      <c r="AL9" s="28"/>
      <c r="AM9" s="28"/>
      <c r="AN9" s="28"/>
      <c r="AO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30"/>
    </row>
    <row r="10" spans="1:59" x14ac:dyDescent="0.2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>
        <v>1</v>
      </c>
      <c r="H10">
        <v>42</v>
      </c>
      <c r="I10">
        <v>46</v>
      </c>
      <c r="J10">
        <v>0</v>
      </c>
      <c r="K10" s="12">
        <f t="shared" si="0"/>
        <v>46</v>
      </c>
      <c r="L10" s="20">
        <f t="shared" si="1"/>
        <v>91.304347826086953</v>
      </c>
      <c r="M10" s="14">
        <v>0</v>
      </c>
      <c r="O10" s="31" t="s">
        <v>37</v>
      </c>
      <c r="AI10" s="22"/>
      <c r="AJ10" s="22"/>
      <c r="AK10" s="22"/>
      <c r="AL10" s="22"/>
      <c r="AM10" s="22"/>
      <c r="AN10" s="22"/>
      <c r="AO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3"/>
    </row>
    <row r="11" spans="1:59" x14ac:dyDescent="0.2">
      <c r="G11">
        <v>2</v>
      </c>
      <c r="H11">
        <v>38</v>
      </c>
      <c r="I11">
        <v>43</v>
      </c>
      <c r="J11">
        <v>0</v>
      </c>
      <c r="K11">
        <f t="shared" si="0"/>
        <v>43</v>
      </c>
      <c r="L11" s="20">
        <f t="shared" si="1"/>
        <v>88.372093023255815</v>
      </c>
      <c r="M11" s="3">
        <v>0</v>
      </c>
      <c r="N11" s="21">
        <f>AVERAGE(L10:L12)</f>
        <v>84.714841985241918</v>
      </c>
      <c r="AI11" s="22"/>
      <c r="AJ11" s="22"/>
      <c r="AK11" s="22"/>
      <c r="AL11" s="22"/>
      <c r="AM11" s="22"/>
      <c r="AN11" s="22"/>
      <c r="AO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3"/>
    </row>
    <row r="12" spans="1:59" x14ac:dyDescent="0.2">
      <c r="G12">
        <v>3</v>
      </c>
      <c r="H12">
        <v>35</v>
      </c>
      <c r="I12">
        <v>47</v>
      </c>
      <c r="J12">
        <v>0</v>
      </c>
      <c r="K12" s="24">
        <f t="shared" si="0"/>
        <v>47</v>
      </c>
      <c r="L12" s="2">
        <f t="shared" si="1"/>
        <v>74.468085106382972</v>
      </c>
      <c r="M12" s="44">
        <v>0</v>
      </c>
      <c r="AI12" s="22"/>
      <c r="AJ12" s="22"/>
      <c r="AK12" s="22"/>
      <c r="AL12" s="22"/>
      <c r="AM12" s="22"/>
      <c r="AN12" s="22"/>
      <c r="AO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3"/>
    </row>
    <row r="13" spans="1:59" s="12" customFormat="1" x14ac:dyDescent="0.2">
      <c r="A13" s="12" t="s">
        <v>38</v>
      </c>
      <c r="B13" s="12" t="s">
        <v>33</v>
      </c>
      <c r="C13" s="12" t="s">
        <v>39</v>
      </c>
      <c r="D13" s="12" t="s">
        <v>40</v>
      </c>
      <c r="E13" s="12" t="s">
        <v>41</v>
      </c>
      <c r="F13" s="12" t="s">
        <v>42</v>
      </c>
      <c r="G13" s="12">
        <v>1</v>
      </c>
      <c r="H13" s="12">
        <v>8</v>
      </c>
      <c r="I13" s="12">
        <v>27</v>
      </c>
      <c r="J13" s="12">
        <v>7</v>
      </c>
      <c r="K13" s="12">
        <f t="shared" si="0"/>
        <v>20</v>
      </c>
      <c r="L13" s="13">
        <f t="shared" si="1"/>
        <v>40</v>
      </c>
      <c r="M13" s="14">
        <v>0</v>
      </c>
      <c r="Z13" s="16"/>
      <c r="AA13" s="16"/>
      <c r="AB13" s="16"/>
      <c r="AC13" s="16"/>
      <c r="AD13" s="16"/>
      <c r="AE13" s="16"/>
      <c r="AF13" s="16"/>
      <c r="AG13" s="16"/>
      <c r="AH13" s="16"/>
      <c r="AI13" s="17"/>
      <c r="AJ13" s="17"/>
      <c r="AK13" s="17"/>
      <c r="AL13" s="17"/>
      <c r="AM13" s="17"/>
      <c r="AN13" s="17"/>
      <c r="AO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9"/>
    </row>
    <row r="14" spans="1:59" x14ac:dyDescent="0.2">
      <c r="G14">
        <v>2</v>
      </c>
      <c r="H14">
        <v>10</v>
      </c>
      <c r="I14">
        <v>21</v>
      </c>
      <c r="J14">
        <v>2</v>
      </c>
      <c r="K14">
        <f t="shared" si="0"/>
        <v>19</v>
      </c>
      <c r="L14" s="20">
        <f t="shared" si="1"/>
        <v>52.631578947368418</v>
      </c>
      <c r="M14" s="3">
        <v>0</v>
      </c>
      <c r="N14" s="21">
        <f>AVERAGE(L13:L15)</f>
        <v>46.56346749226006</v>
      </c>
      <c r="AI14" s="22"/>
      <c r="AJ14" s="22"/>
      <c r="AK14" s="22"/>
      <c r="AL14" s="22"/>
      <c r="AM14" s="22"/>
      <c r="AN14" s="22"/>
      <c r="AO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3"/>
    </row>
    <row r="15" spans="1:59" x14ac:dyDescent="0.2">
      <c r="G15">
        <v>3</v>
      </c>
      <c r="H15">
        <v>8</v>
      </c>
      <c r="I15">
        <v>17</v>
      </c>
      <c r="J15">
        <v>0</v>
      </c>
      <c r="K15" s="24">
        <f t="shared" si="0"/>
        <v>17</v>
      </c>
      <c r="L15" s="20">
        <f t="shared" si="1"/>
        <v>47.058823529411761</v>
      </c>
      <c r="M15" s="44">
        <v>0</v>
      </c>
      <c r="AI15" s="22"/>
      <c r="AJ15" s="22"/>
      <c r="AK15" s="22"/>
      <c r="AL15" s="22"/>
      <c r="AM15" s="22"/>
      <c r="AN15" s="22"/>
      <c r="AO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3"/>
    </row>
    <row r="16" spans="1:59" s="12" customFormat="1" x14ac:dyDescent="0.2">
      <c r="A16" s="12" t="s">
        <v>43</v>
      </c>
      <c r="B16" s="12" t="s">
        <v>44</v>
      </c>
      <c r="C16" s="12" t="s">
        <v>39</v>
      </c>
      <c r="D16" s="12" t="s">
        <v>45</v>
      </c>
      <c r="E16" s="12" t="s">
        <v>41</v>
      </c>
      <c r="F16" s="12" t="s">
        <v>46</v>
      </c>
      <c r="G16" s="12">
        <v>1</v>
      </c>
      <c r="H16" s="12">
        <v>11</v>
      </c>
      <c r="I16" s="12">
        <v>15</v>
      </c>
      <c r="J16" s="12">
        <v>0</v>
      </c>
      <c r="K16" s="12">
        <f t="shared" si="0"/>
        <v>15</v>
      </c>
      <c r="L16" s="13">
        <f t="shared" si="1"/>
        <v>73.333333333333329</v>
      </c>
      <c r="M16" s="14">
        <v>0</v>
      </c>
      <c r="Z16" s="16"/>
      <c r="AA16" s="16"/>
      <c r="AB16" s="16"/>
      <c r="AC16" s="16"/>
      <c r="AD16" s="16"/>
      <c r="AE16" s="16"/>
      <c r="AF16" s="16"/>
      <c r="AG16" s="16"/>
      <c r="AH16" s="16"/>
      <c r="AI16" s="17"/>
      <c r="AJ16" s="17"/>
      <c r="AK16" s="17"/>
      <c r="AL16" s="17"/>
      <c r="AM16" s="17"/>
      <c r="AN16" s="17"/>
      <c r="AO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9"/>
    </row>
    <row r="17" spans="1:59" x14ac:dyDescent="0.2">
      <c r="G17">
        <v>2</v>
      </c>
      <c r="H17">
        <v>8</v>
      </c>
      <c r="I17">
        <v>11</v>
      </c>
      <c r="J17">
        <v>0</v>
      </c>
      <c r="K17">
        <f t="shared" si="0"/>
        <v>11</v>
      </c>
      <c r="L17" s="20">
        <f t="shared" si="1"/>
        <v>72.727272727272734</v>
      </c>
      <c r="M17" s="3">
        <v>0</v>
      </c>
      <c r="N17" s="21">
        <f>AVERAGE(L16:L18)</f>
        <v>70.909090909090907</v>
      </c>
      <c r="AI17" s="22"/>
      <c r="AJ17" s="22"/>
      <c r="AK17" s="22"/>
      <c r="AL17" s="22"/>
      <c r="AM17" s="22"/>
      <c r="AN17" s="22"/>
      <c r="AO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3"/>
    </row>
    <row r="18" spans="1:59" x14ac:dyDescent="0.2">
      <c r="G18">
        <v>3</v>
      </c>
      <c r="H18">
        <v>8</v>
      </c>
      <c r="I18">
        <v>12</v>
      </c>
      <c r="J18">
        <v>0</v>
      </c>
      <c r="K18" s="24">
        <f t="shared" si="0"/>
        <v>12</v>
      </c>
      <c r="L18" s="2">
        <f t="shared" si="1"/>
        <v>66.666666666666657</v>
      </c>
      <c r="M18" s="44">
        <v>0</v>
      </c>
      <c r="AI18" s="22"/>
      <c r="AJ18" s="22"/>
      <c r="AK18" s="22"/>
      <c r="AL18" s="22"/>
      <c r="AM18" s="22"/>
      <c r="AN18" s="22"/>
      <c r="AO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3"/>
    </row>
    <row r="19" spans="1:59" s="12" customFormat="1" x14ac:dyDescent="0.2">
      <c r="A19" s="12" t="s">
        <v>47</v>
      </c>
      <c r="B19" s="12" t="s">
        <v>48</v>
      </c>
      <c r="C19" s="12" t="s">
        <v>49</v>
      </c>
      <c r="D19" s="12" t="s">
        <v>50</v>
      </c>
      <c r="E19" s="12" t="s">
        <v>51</v>
      </c>
      <c r="F19" s="12" t="s">
        <v>52</v>
      </c>
      <c r="G19" s="12">
        <v>1</v>
      </c>
      <c r="H19" s="12">
        <v>9</v>
      </c>
      <c r="I19" s="12">
        <v>20</v>
      </c>
      <c r="J19" s="12">
        <v>0</v>
      </c>
      <c r="K19" s="12">
        <f t="shared" si="0"/>
        <v>20</v>
      </c>
      <c r="L19" s="13">
        <f t="shared" si="1"/>
        <v>45</v>
      </c>
      <c r="M19" s="14">
        <v>0</v>
      </c>
      <c r="Z19" s="16"/>
      <c r="AA19" s="16"/>
      <c r="AB19" s="16"/>
      <c r="AC19" s="16"/>
      <c r="AD19" s="16"/>
      <c r="AE19" s="16"/>
      <c r="AF19" s="16"/>
      <c r="AG19" s="16"/>
      <c r="AH19" s="16"/>
      <c r="AI19" s="17"/>
      <c r="AJ19" s="17"/>
      <c r="AK19" s="17"/>
      <c r="AL19" s="17"/>
      <c r="AM19" s="17"/>
      <c r="AN19" s="17"/>
      <c r="AO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9"/>
    </row>
    <row r="20" spans="1:59" x14ac:dyDescent="0.2">
      <c r="G20">
        <v>2</v>
      </c>
      <c r="H20">
        <v>13</v>
      </c>
      <c r="I20">
        <v>22</v>
      </c>
      <c r="J20">
        <v>2</v>
      </c>
      <c r="K20">
        <f t="shared" si="0"/>
        <v>20</v>
      </c>
      <c r="L20" s="2">
        <f t="shared" si="1"/>
        <v>65</v>
      </c>
      <c r="M20" s="3">
        <v>0</v>
      </c>
      <c r="N20" s="21">
        <f>AVERAGE(L19:L21)</f>
        <v>53.333333333333336</v>
      </c>
      <c r="AI20" s="22"/>
      <c r="AJ20" s="22"/>
      <c r="AK20" s="22"/>
      <c r="AL20" s="22"/>
      <c r="AM20" s="22"/>
      <c r="AN20" s="22"/>
      <c r="AO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3"/>
    </row>
    <row r="21" spans="1:59" x14ac:dyDescent="0.2">
      <c r="G21">
        <v>3</v>
      </c>
      <c r="H21">
        <v>12</v>
      </c>
      <c r="I21">
        <v>26</v>
      </c>
      <c r="J21">
        <v>2</v>
      </c>
      <c r="K21" s="24">
        <f t="shared" si="0"/>
        <v>24</v>
      </c>
      <c r="L21" s="20">
        <f t="shared" si="1"/>
        <v>50</v>
      </c>
      <c r="M21" s="44">
        <v>0</v>
      </c>
      <c r="AI21" s="22"/>
      <c r="AJ21" s="22"/>
      <c r="AK21" s="22"/>
      <c r="AL21" s="22"/>
      <c r="AM21" s="22"/>
      <c r="AN21" s="22"/>
      <c r="AO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3"/>
    </row>
    <row r="22" spans="1:59" s="12" customFormat="1" x14ac:dyDescent="0.2">
      <c r="A22" s="12" t="s">
        <v>53</v>
      </c>
      <c r="B22" s="12" t="s">
        <v>54</v>
      </c>
      <c r="C22" s="12" t="s">
        <v>55</v>
      </c>
      <c r="D22" s="12" t="s">
        <v>56</v>
      </c>
      <c r="E22" s="12" t="s">
        <v>57</v>
      </c>
      <c r="F22" s="12" t="s">
        <v>58</v>
      </c>
      <c r="G22" s="12">
        <v>1</v>
      </c>
      <c r="H22" s="12">
        <v>59</v>
      </c>
      <c r="I22" s="12">
        <v>117</v>
      </c>
      <c r="J22" s="12">
        <v>0</v>
      </c>
      <c r="K22">
        <f t="shared" si="0"/>
        <v>130</v>
      </c>
      <c r="L22" s="13">
        <f t="shared" si="1"/>
        <v>45.384615384615387</v>
      </c>
      <c r="M22" s="32">
        <v>13</v>
      </c>
      <c r="Z22" s="16"/>
      <c r="AA22" s="16"/>
      <c r="AB22" s="16"/>
      <c r="AC22" s="16"/>
      <c r="AD22" s="16"/>
      <c r="AE22" s="16"/>
      <c r="AF22" s="16"/>
      <c r="AG22" s="16"/>
      <c r="AH22" s="16"/>
      <c r="AI22" s="17"/>
      <c r="AJ22" s="17"/>
      <c r="AK22" s="17"/>
      <c r="AL22" s="17"/>
      <c r="AM22" s="17"/>
      <c r="AN22" s="17"/>
    </row>
    <row r="23" spans="1:59" x14ac:dyDescent="0.2">
      <c r="G23">
        <v>2</v>
      </c>
      <c r="H23">
        <v>38</v>
      </c>
      <c r="I23">
        <v>72</v>
      </c>
      <c r="J23">
        <v>1</v>
      </c>
      <c r="K23">
        <f t="shared" si="0"/>
        <v>84</v>
      </c>
      <c r="L23" s="20">
        <f t="shared" si="1"/>
        <v>45.238095238095241</v>
      </c>
      <c r="M23" s="33">
        <v>13</v>
      </c>
      <c r="N23" s="21">
        <f>AVERAGE(L22:L24)</f>
        <v>40.340903540903547</v>
      </c>
      <c r="AI23" s="22"/>
      <c r="AJ23" s="22"/>
      <c r="AK23" s="22"/>
      <c r="AL23" s="22"/>
      <c r="AM23" s="22"/>
      <c r="AN23" s="22"/>
    </row>
    <row r="24" spans="1:59" x14ac:dyDescent="0.2">
      <c r="G24">
        <v>3</v>
      </c>
      <c r="H24">
        <v>38</v>
      </c>
      <c r="I24">
        <v>106</v>
      </c>
      <c r="J24">
        <v>1</v>
      </c>
      <c r="K24">
        <f t="shared" si="0"/>
        <v>125</v>
      </c>
      <c r="L24" s="2">
        <f t="shared" si="1"/>
        <v>30.4</v>
      </c>
      <c r="M24" s="33">
        <v>20</v>
      </c>
      <c r="AI24" s="22"/>
      <c r="AJ24" s="22"/>
      <c r="AK24" s="22"/>
      <c r="AL24" s="22"/>
      <c r="AM24" s="22"/>
      <c r="AN24" s="22"/>
    </row>
    <row r="25" spans="1:59" s="12" customFormat="1" x14ac:dyDescent="0.2">
      <c r="A25" s="12" t="s">
        <v>59</v>
      </c>
      <c r="B25" s="12" t="s">
        <v>49</v>
      </c>
      <c r="C25" s="12" t="s">
        <v>60</v>
      </c>
      <c r="D25" s="12" t="s">
        <v>61</v>
      </c>
      <c r="E25" s="12" t="s">
        <v>62</v>
      </c>
      <c r="F25" s="12" t="s">
        <v>63</v>
      </c>
      <c r="G25" s="12">
        <v>1</v>
      </c>
      <c r="H25" s="12">
        <v>64</v>
      </c>
      <c r="I25" s="12">
        <v>84</v>
      </c>
      <c r="J25" s="12">
        <v>0</v>
      </c>
      <c r="K25" s="12">
        <f t="shared" si="0"/>
        <v>84</v>
      </c>
      <c r="L25" s="13">
        <f t="shared" si="1"/>
        <v>76.19047619047619</v>
      </c>
      <c r="M25" s="14">
        <v>0</v>
      </c>
      <c r="Z25" s="16"/>
      <c r="AA25" s="16"/>
      <c r="AB25" s="16"/>
      <c r="AC25" s="16"/>
      <c r="AD25" s="16"/>
      <c r="AE25" s="16"/>
      <c r="AF25" s="16"/>
      <c r="AG25" s="16"/>
      <c r="AH25" s="16"/>
      <c r="AI25" s="17"/>
      <c r="AJ25" s="17"/>
      <c r="AK25" s="17"/>
      <c r="AL25" s="17"/>
      <c r="AM25" s="17"/>
      <c r="AN25" s="17"/>
      <c r="AO25" s="18"/>
    </row>
    <row r="26" spans="1:59" x14ac:dyDescent="0.2">
      <c r="G26">
        <v>2</v>
      </c>
      <c r="H26">
        <v>93</v>
      </c>
      <c r="I26">
        <v>121</v>
      </c>
      <c r="J26">
        <v>2</v>
      </c>
      <c r="K26">
        <f t="shared" si="0"/>
        <v>119</v>
      </c>
      <c r="L26" s="20">
        <f t="shared" si="1"/>
        <v>78.151260504201687</v>
      </c>
      <c r="M26" s="3">
        <v>0</v>
      </c>
      <c r="N26" s="21">
        <f>AVERAGE(L25:L27)</f>
        <v>77.057001662453601</v>
      </c>
      <c r="AI26" s="22"/>
      <c r="AJ26" s="22"/>
      <c r="AK26" s="22"/>
      <c r="AL26" s="22"/>
      <c r="AM26" s="22"/>
      <c r="AN26" s="22"/>
      <c r="AO26" s="21"/>
    </row>
    <row r="27" spans="1:59" x14ac:dyDescent="0.2">
      <c r="G27">
        <v>3</v>
      </c>
      <c r="H27">
        <v>63</v>
      </c>
      <c r="I27">
        <v>82</v>
      </c>
      <c r="J27">
        <v>0</v>
      </c>
      <c r="K27" s="24">
        <f t="shared" si="0"/>
        <v>82</v>
      </c>
      <c r="L27" s="20">
        <f t="shared" si="1"/>
        <v>76.829268292682926</v>
      </c>
      <c r="M27" s="44">
        <v>0</v>
      </c>
      <c r="AI27" s="22"/>
      <c r="AJ27" s="22"/>
      <c r="AK27" s="22"/>
      <c r="AL27" s="22"/>
      <c r="AM27" s="22"/>
      <c r="AN27" s="22"/>
      <c r="AO27" s="21"/>
    </row>
    <row r="28" spans="1:59" s="12" customFormat="1" x14ac:dyDescent="0.2">
      <c r="A28" s="12" t="s">
        <v>64</v>
      </c>
      <c r="B28" s="12" t="s">
        <v>60</v>
      </c>
      <c r="C28" s="34" t="s">
        <v>49</v>
      </c>
      <c r="D28" s="34" t="s">
        <v>65</v>
      </c>
      <c r="E28" s="34" t="s">
        <v>51</v>
      </c>
      <c r="F28" s="34" t="s">
        <v>66</v>
      </c>
      <c r="G28" s="34">
        <v>1</v>
      </c>
      <c r="H28" s="34">
        <v>7</v>
      </c>
      <c r="I28" s="34">
        <v>18</v>
      </c>
      <c r="J28" s="34">
        <v>0</v>
      </c>
      <c r="K28" s="12">
        <f t="shared" si="0"/>
        <v>28</v>
      </c>
      <c r="L28" s="35">
        <f t="shared" si="1"/>
        <v>25</v>
      </c>
      <c r="M28" s="36">
        <v>10</v>
      </c>
      <c r="N28" s="34"/>
      <c r="O28" s="34"/>
      <c r="Z28" s="16"/>
      <c r="AA28" s="16"/>
      <c r="AB28" s="16"/>
      <c r="AC28" s="16"/>
      <c r="AD28" s="16"/>
      <c r="AE28" s="16"/>
      <c r="AF28" s="16"/>
      <c r="AG28" s="16"/>
      <c r="AH28" s="16"/>
    </row>
    <row r="29" spans="1:59" x14ac:dyDescent="0.2">
      <c r="C29" s="37"/>
      <c r="D29" s="37"/>
      <c r="E29" s="37"/>
      <c r="F29" s="37"/>
      <c r="G29" s="37">
        <v>2</v>
      </c>
      <c r="H29" s="37">
        <v>5</v>
      </c>
      <c r="I29" s="37">
        <v>9</v>
      </c>
      <c r="J29" s="37">
        <v>0</v>
      </c>
      <c r="K29">
        <f t="shared" si="0"/>
        <v>12</v>
      </c>
      <c r="L29" s="38">
        <f t="shared" si="1"/>
        <v>41.666666666666671</v>
      </c>
      <c r="M29" s="39">
        <v>3</v>
      </c>
      <c r="N29" s="40">
        <f>AVERAGE(L28:L30)</f>
        <v>37.777777777777779</v>
      </c>
      <c r="O29" s="37" t="s">
        <v>67</v>
      </c>
    </row>
    <row r="30" spans="1:59" x14ac:dyDescent="0.2">
      <c r="C30" s="37"/>
      <c r="D30" s="37"/>
      <c r="E30" s="37"/>
      <c r="F30" s="37"/>
      <c r="G30" s="37">
        <v>3</v>
      </c>
      <c r="H30" s="37">
        <v>14</v>
      </c>
      <c r="I30" s="37">
        <v>22</v>
      </c>
      <c r="J30" s="37">
        <v>0</v>
      </c>
      <c r="K30" s="24">
        <f t="shared" si="0"/>
        <v>30</v>
      </c>
      <c r="L30" s="38">
        <f t="shared" si="1"/>
        <v>46.666666666666664</v>
      </c>
      <c r="M30" s="39">
        <v>8</v>
      </c>
      <c r="N30" s="37"/>
      <c r="O30" s="37"/>
    </row>
    <row r="31" spans="1:59" s="12" customFormat="1" x14ac:dyDescent="0.2">
      <c r="A31" s="12" t="s">
        <v>68</v>
      </c>
      <c r="B31" s="42" t="s">
        <v>60</v>
      </c>
      <c r="C31" s="12" t="s">
        <v>49</v>
      </c>
      <c r="D31" s="12" t="s">
        <v>65</v>
      </c>
      <c r="E31" s="12" t="s">
        <v>51</v>
      </c>
      <c r="F31" s="12" t="s">
        <v>66</v>
      </c>
      <c r="G31" s="12">
        <v>1</v>
      </c>
      <c r="H31" s="12">
        <v>107</v>
      </c>
      <c r="I31" s="12">
        <v>156</v>
      </c>
      <c r="J31" s="12">
        <v>0</v>
      </c>
      <c r="K31">
        <f t="shared" si="0"/>
        <v>200</v>
      </c>
      <c r="L31" s="13">
        <f t="shared" si="1"/>
        <v>53.5</v>
      </c>
      <c r="M31" s="32">
        <v>44</v>
      </c>
      <c r="Z31" s="16"/>
      <c r="AA31" s="16"/>
      <c r="AB31" s="16"/>
      <c r="AC31" s="16"/>
      <c r="AD31" s="16"/>
      <c r="AE31" s="16"/>
      <c r="AF31" s="16"/>
      <c r="AG31" s="16"/>
      <c r="AH31" s="16"/>
    </row>
    <row r="32" spans="1:59" x14ac:dyDescent="0.2">
      <c r="G32">
        <v>2</v>
      </c>
      <c r="H32">
        <v>98</v>
      </c>
      <c r="I32">
        <v>163</v>
      </c>
      <c r="J32">
        <v>0</v>
      </c>
      <c r="K32">
        <f t="shared" si="0"/>
        <v>225</v>
      </c>
      <c r="L32" s="2">
        <f t="shared" si="1"/>
        <v>43.55555555555555</v>
      </c>
      <c r="M32" s="33">
        <v>62</v>
      </c>
      <c r="N32" s="21">
        <f>AVERAGE(L31:L33)</f>
        <v>50.259653270291572</v>
      </c>
    </row>
    <row r="33" spans="1:41" x14ac:dyDescent="0.2">
      <c r="G33">
        <v>3</v>
      </c>
      <c r="H33">
        <v>101</v>
      </c>
      <c r="I33">
        <v>148</v>
      </c>
      <c r="J33">
        <v>0</v>
      </c>
      <c r="K33">
        <f t="shared" si="0"/>
        <v>188</v>
      </c>
      <c r="L33" s="20">
        <f t="shared" si="1"/>
        <v>53.723404255319153</v>
      </c>
      <c r="M33" s="33">
        <v>40</v>
      </c>
    </row>
    <row r="34" spans="1:41" s="12" customFormat="1" x14ac:dyDescent="0.2">
      <c r="A34" s="12" t="s">
        <v>69</v>
      </c>
      <c r="B34" s="12" t="s">
        <v>49</v>
      </c>
      <c r="C34" s="12" t="s">
        <v>21</v>
      </c>
      <c r="D34" s="12" t="s">
        <v>61</v>
      </c>
      <c r="E34" s="12" t="s">
        <v>23</v>
      </c>
      <c r="F34" s="12" t="s">
        <v>70</v>
      </c>
      <c r="G34" s="12">
        <v>1</v>
      </c>
      <c r="H34" s="12">
        <v>16</v>
      </c>
      <c r="I34" s="12">
        <v>73</v>
      </c>
      <c r="J34" s="12">
        <v>1</v>
      </c>
      <c r="K34" s="12">
        <f t="shared" si="0"/>
        <v>72</v>
      </c>
      <c r="L34" s="15">
        <f t="shared" si="1"/>
        <v>22.222222222222221</v>
      </c>
      <c r="M34" s="32">
        <v>0</v>
      </c>
      <c r="Z34" s="16"/>
      <c r="AA34" s="16"/>
      <c r="AB34" s="16"/>
      <c r="AC34" s="16"/>
      <c r="AD34" s="16"/>
      <c r="AE34" s="16"/>
      <c r="AF34" s="16"/>
      <c r="AG34" s="16"/>
      <c r="AH34" s="16"/>
      <c r="AO34" s="18"/>
    </row>
    <row r="35" spans="1:41" x14ac:dyDescent="0.2">
      <c r="G35">
        <v>2</v>
      </c>
      <c r="H35">
        <v>30</v>
      </c>
      <c r="I35">
        <v>113</v>
      </c>
      <c r="J35">
        <v>4</v>
      </c>
      <c r="K35">
        <f t="shared" si="0"/>
        <v>113</v>
      </c>
      <c r="L35" s="20">
        <f t="shared" si="1"/>
        <v>26.548672566371685</v>
      </c>
      <c r="M35" s="33">
        <v>4</v>
      </c>
      <c r="N35" s="21">
        <f>AVERAGE(L34:L36)</f>
        <v>26.256964929531303</v>
      </c>
      <c r="AO35" s="21"/>
    </row>
    <row r="36" spans="1:41" x14ac:dyDescent="0.2">
      <c r="G36">
        <v>3</v>
      </c>
      <c r="H36">
        <v>36</v>
      </c>
      <c r="I36">
        <v>121</v>
      </c>
      <c r="J36">
        <v>1</v>
      </c>
      <c r="K36" s="24">
        <f t="shared" si="0"/>
        <v>120</v>
      </c>
      <c r="L36" s="20">
        <f t="shared" si="1"/>
        <v>30</v>
      </c>
      <c r="M36" s="3">
        <v>0</v>
      </c>
      <c r="AO36" s="21"/>
    </row>
    <row r="37" spans="1:41" s="12" customFormat="1" x14ac:dyDescent="0.2">
      <c r="A37" s="12" t="s">
        <v>71</v>
      </c>
      <c r="B37" s="12" t="s">
        <v>55</v>
      </c>
      <c r="C37" s="12" t="s">
        <v>27</v>
      </c>
      <c r="D37" s="12" t="s">
        <v>72</v>
      </c>
      <c r="E37" s="12" t="s">
        <v>29</v>
      </c>
      <c r="F37" s="12" t="s">
        <v>73</v>
      </c>
      <c r="G37" s="12">
        <v>1</v>
      </c>
      <c r="H37" s="12">
        <v>3</v>
      </c>
      <c r="I37" s="12">
        <v>21</v>
      </c>
      <c r="J37" s="12">
        <v>1</v>
      </c>
      <c r="K37">
        <f t="shared" si="0"/>
        <v>20</v>
      </c>
      <c r="L37" s="13">
        <f t="shared" si="1"/>
        <v>15</v>
      </c>
      <c r="M37" s="14">
        <v>0</v>
      </c>
      <c r="Z37" s="16"/>
      <c r="AA37" s="16"/>
      <c r="AB37" s="16"/>
      <c r="AC37" s="16"/>
      <c r="AD37" s="16"/>
      <c r="AE37" s="16"/>
      <c r="AF37" s="16"/>
      <c r="AG37" s="16"/>
      <c r="AH37" s="16"/>
    </row>
    <row r="38" spans="1:41" x14ac:dyDescent="0.2">
      <c r="G38">
        <v>2</v>
      </c>
      <c r="H38">
        <v>2</v>
      </c>
      <c r="I38">
        <v>31</v>
      </c>
      <c r="J38">
        <v>1</v>
      </c>
      <c r="K38">
        <f t="shared" si="0"/>
        <v>30</v>
      </c>
      <c r="L38" s="2">
        <f t="shared" si="1"/>
        <v>6.666666666666667</v>
      </c>
      <c r="M38" s="3">
        <v>0</v>
      </c>
      <c r="N38" s="21">
        <f>AVERAGE(L37:L39)</f>
        <v>12.485380116959064</v>
      </c>
    </row>
    <row r="39" spans="1:41" x14ac:dyDescent="0.2">
      <c r="G39">
        <v>3</v>
      </c>
      <c r="H39">
        <v>3</v>
      </c>
      <c r="I39">
        <v>28</v>
      </c>
      <c r="J39">
        <v>9</v>
      </c>
      <c r="K39">
        <f t="shared" si="0"/>
        <v>19</v>
      </c>
      <c r="L39" s="20">
        <f t="shared" si="1"/>
        <v>15.789473684210526</v>
      </c>
      <c r="M39" s="44">
        <v>0</v>
      </c>
    </row>
    <row r="40" spans="1:41" s="12" customFormat="1" x14ac:dyDescent="0.2">
      <c r="A40" s="12" t="s">
        <v>74</v>
      </c>
      <c r="B40" s="12" t="s">
        <v>75</v>
      </c>
      <c r="C40" s="12" t="s">
        <v>33</v>
      </c>
      <c r="D40" s="12" t="s">
        <v>76</v>
      </c>
      <c r="E40" s="12" t="s">
        <v>35</v>
      </c>
      <c r="F40" s="12" t="s">
        <v>77</v>
      </c>
      <c r="G40" s="12">
        <v>1</v>
      </c>
      <c r="H40" s="12">
        <v>11</v>
      </c>
      <c r="I40" s="12">
        <v>161</v>
      </c>
      <c r="J40" s="12">
        <v>3</v>
      </c>
      <c r="K40" s="12">
        <f t="shared" si="0"/>
        <v>158</v>
      </c>
      <c r="L40" s="13">
        <f t="shared" si="1"/>
        <v>6.962025316455696</v>
      </c>
      <c r="M40" s="14">
        <v>0</v>
      </c>
      <c r="Z40" s="16"/>
      <c r="AA40" s="16"/>
      <c r="AB40" s="16"/>
      <c r="AC40" s="16"/>
      <c r="AD40" s="16"/>
      <c r="AE40" s="16"/>
      <c r="AF40" s="16"/>
      <c r="AG40" s="16"/>
      <c r="AH40" s="16"/>
      <c r="AO40" s="18"/>
    </row>
    <row r="41" spans="1:41" x14ac:dyDescent="0.2">
      <c r="G41">
        <v>2</v>
      </c>
      <c r="H41" s="43">
        <v>10</v>
      </c>
      <c r="I41">
        <v>156</v>
      </c>
      <c r="J41">
        <v>2</v>
      </c>
      <c r="K41">
        <f t="shared" si="0"/>
        <v>154</v>
      </c>
      <c r="L41" s="20">
        <f t="shared" si="1"/>
        <v>6.4935064935064926</v>
      </c>
      <c r="M41" s="3">
        <v>0</v>
      </c>
      <c r="N41" s="21">
        <f>AVERAGE(L40:L42)</f>
        <v>5.675653460463586</v>
      </c>
      <c r="AO41" s="21"/>
    </row>
    <row r="42" spans="1:41" x14ac:dyDescent="0.2">
      <c r="G42">
        <v>3</v>
      </c>
      <c r="H42">
        <v>5</v>
      </c>
      <c r="I42">
        <v>141</v>
      </c>
      <c r="J42">
        <v>1</v>
      </c>
      <c r="K42">
        <f t="shared" si="0"/>
        <v>140</v>
      </c>
      <c r="L42" s="2">
        <f t="shared" si="1"/>
        <v>3.5714285714285712</v>
      </c>
      <c r="M42" s="3">
        <v>0</v>
      </c>
      <c r="AO42" s="21"/>
    </row>
    <row r="43" spans="1:41" x14ac:dyDescent="0.2">
      <c r="AO43" s="21"/>
    </row>
    <row r="44" spans="1:41" x14ac:dyDescent="0.2">
      <c r="AO44" s="21"/>
    </row>
    <row r="45" spans="1:41" x14ac:dyDescent="0.2">
      <c r="AO45" s="21"/>
    </row>
    <row r="46" spans="1:41" x14ac:dyDescent="0.2">
      <c r="AO46" s="21"/>
    </row>
    <row r="47" spans="1:41" x14ac:dyDescent="0.2">
      <c r="AO47" s="21"/>
    </row>
    <row r="48" spans="1:41" x14ac:dyDescent="0.2">
      <c r="AO48" s="21"/>
    </row>
    <row r="49" spans="41:41" x14ac:dyDescent="0.2">
      <c r="AO49" s="21"/>
    </row>
  </sheetData>
  <mergeCells count="1">
    <mergeCell ref="AR1:BG1"/>
  </mergeCell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50"/>
  <sheetViews>
    <sheetView topLeftCell="A16" zoomScale="150" zoomScaleNormal="150" workbookViewId="0">
      <selection activeCell="G42" sqref="G42"/>
    </sheetView>
  </sheetViews>
  <sheetFormatPr baseColWidth="10" defaultColWidth="8.83203125" defaultRowHeight="15" x14ac:dyDescent="0.2"/>
  <cols>
    <col min="4" max="5" width="11.1640625" customWidth="1"/>
    <col min="7" max="8" width="7.83203125" customWidth="1"/>
    <col min="9" max="9" width="7" customWidth="1"/>
    <col min="10" max="10" width="10.6640625" customWidth="1"/>
    <col min="12" max="13" width="8.83203125" style="2"/>
    <col min="14" max="14" width="10" style="3" customWidth="1"/>
    <col min="18" max="18" width="141" customWidth="1"/>
    <col min="19" max="19" width="10.83203125" customWidth="1"/>
    <col min="20" max="20" width="9.5" customWidth="1"/>
    <col min="25" max="25" width="9.83203125" customWidth="1"/>
    <col min="29" max="29" width="6.83203125" style="4" customWidth="1"/>
    <col min="30" max="30" width="8" style="4" customWidth="1"/>
    <col min="31" max="31" width="9.1640625" style="4" customWidth="1"/>
    <col min="32" max="32" width="16.33203125" style="4" customWidth="1"/>
    <col min="33" max="33" width="16.6640625" style="4" customWidth="1"/>
    <col min="34" max="34" width="23.33203125" style="4" customWidth="1"/>
    <col min="35" max="35" width="13.6640625" style="4" customWidth="1"/>
    <col min="36" max="36" width="16.83203125" style="4" customWidth="1"/>
    <col min="37" max="37" width="9.5" style="4" customWidth="1"/>
    <col min="38" max="38" width="10.33203125" customWidth="1"/>
    <col min="39" max="39" width="14.5" customWidth="1"/>
    <col min="45" max="45" width="47" customWidth="1"/>
  </cols>
  <sheetData>
    <row r="1" spans="1:62" x14ac:dyDescent="0.2">
      <c r="A1" t="s">
        <v>81</v>
      </c>
      <c r="K1" s="5"/>
      <c r="L1" s="5"/>
      <c r="M1" s="5"/>
      <c r="N1" s="6"/>
      <c r="O1" s="5"/>
      <c r="P1" s="5"/>
      <c r="Q1" s="5"/>
      <c r="R1" s="7" t="s">
        <v>82</v>
      </c>
      <c r="S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x14ac:dyDescent="0.2">
      <c r="K2" s="5"/>
      <c r="L2" s="5"/>
      <c r="M2" s="5"/>
      <c r="N2" s="6"/>
      <c r="O2" s="5"/>
      <c r="P2" s="5"/>
      <c r="Q2" s="5"/>
      <c r="R2" s="7" t="s">
        <v>83</v>
      </c>
      <c r="S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 spans="1:62" ht="32" x14ac:dyDescent="0.2">
      <c r="K3" s="5"/>
      <c r="L3" s="5"/>
      <c r="M3" s="5"/>
      <c r="N3" s="6"/>
      <c r="O3" s="5"/>
      <c r="P3" s="5"/>
      <c r="Q3" s="5"/>
      <c r="R3" s="45" t="s">
        <v>84</v>
      </c>
      <c r="S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</row>
    <row r="4" spans="1:62" x14ac:dyDescent="0.2">
      <c r="K4" s="5"/>
      <c r="L4" s="5"/>
      <c r="M4" s="5"/>
      <c r="N4" s="6"/>
      <c r="O4" s="5"/>
      <c r="P4" s="5"/>
      <c r="Q4" s="5"/>
      <c r="R4" s="46"/>
      <c r="S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 spans="1:62" ht="16" x14ac:dyDescent="0.2">
      <c r="K5" s="5"/>
      <c r="L5" s="5"/>
      <c r="M5" s="5"/>
      <c r="N5" s="6" t="s">
        <v>85</v>
      </c>
      <c r="O5" s="5" t="s">
        <v>86</v>
      </c>
      <c r="P5" s="5"/>
      <c r="Q5" s="5"/>
      <c r="S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 spans="1:62" ht="16" x14ac:dyDescent="0.2">
      <c r="B6" t="s">
        <v>3</v>
      </c>
      <c r="C6" t="s">
        <v>3</v>
      </c>
      <c r="K6" s="6"/>
      <c r="L6" s="9"/>
      <c r="M6" s="9"/>
      <c r="N6" s="6" t="s">
        <v>87</v>
      </c>
      <c r="O6" s="6" t="s">
        <v>88</v>
      </c>
      <c r="P6" s="10">
        <v>3</v>
      </c>
      <c r="Q6" s="10">
        <v>4</v>
      </c>
      <c r="S6" s="6"/>
      <c r="T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L6" s="6"/>
      <c r="AM6" s="6"/>
      <c r="AN6" s="6"/>
      <c r="AO6" s="6"/>
      <c r="AP6" s="6"/>
      <c r="AQ6" s="6"/>
      <c r="AR6" s="6"/>
      <c r="AS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 spans="1:62" x14ac:dyDescent="0.2">
      <c r="A7" t="s">
        <v>89</v>
      </c>
      <c r="B7" t="s">
        <v>4</v>
      </c>
      <c r="C7" t="s">
        <v>5</v>
      </c>
      <c r="D7" t="s">
        <v>6</v>
      </c>
      <c r="E7" t="s">
        <v>7</v>
      </c>
      <c r="F7" t="s">
        <v>8</v>
      </c>
      <c r="G7" t="s">
        <v>90</v>
      </c>
      <c r="H7" t="s">
        <v>9</v>
      </c>
      <c r="I7" t="s">
        <v>10</v>
      </c>
      <c r="J7" t="s">
        <v>91</v>
      </c>
      <c r="K7" s="3" t="s">
        <v>92</v>
      </c>
      <c r="L7" s="2" t="s">
        <v>93</v>
      </c>
      <c r="M7" s="2" t="s">
        <v>94</v>
      </c>
      <c r="N7" s="3" t="s">
        <v>15</v>
      </c>
      <c r="O7" s="3" t="s">
        <v>12</v>
      </c>
      <c r="P7" s="3" t="s">
        <v>16</v>
      </c>
      <c r="Q7" s="3" t="s">
        <v>95</v>
      </c>
      <c r="R7" s="2" t="s">
        <v>19</v>
      </c>
      <c r="S7" s="3"/>
      <c r="T7" s="3"/>
      <c r="U7" s="3"/>
      <c r="V7" s="3"/>
      <c r="W7" s="3"/>
      <c r="X7" s="3"/>
      <c r="Y7" s="3"/>
      <c r="Z7" s="3"/>
      <c r="AA7" s="3"/>
      <c r="AB7" s="3"/>
      <c r="BJ7" s="11"/>
    </row>
    <row r="8" spans="1:62" x14ac:dyDescent="0.2">
      <c r="A8" t="s">
        <v>20</v>
      </c>
      <c r="B8" t="s">
        <v>21</v>
      </c>
      <c r="C8" t="s">
        <v>21</v>
      </c>
      <c r="D8" t="s">
        <v>22</v>
      </c>
      <c r="E8" t="s">
        <v>23</v>
      </c>
      <c r="F8" t="s">
        <v>24</v>
      </c>
      <c r="G8" t="s">
        <v>96</v>
      </c>
      <c r="H8">
        <v>1</v>
      </c>
      <c r="I8">
        <v>37</v>
      </c>
      <c r="J8">
        <v>0</v>
      </c>
      <c r="K8">
        <v>71</v>
      </c>
      <c r="L8" s="2">
        <f t="shared" ref="L8:L43" si="0">I8/K8*100</f>
        <v>52.112676056338024</v>
      </c>
      <c r="M8" s="2">
        <f t="shared" ref="M8:M43" si="1">(I8+J8)/K8*100</f>
        <v>52.112676056338024</v>
      </c>
      <c r="N8" s="3">
        <v>8</v>
      </c>
      <c r="O8">
        <v>3</v>
      </c>
      <c r="R8" t="s">
        <v>97</v>
      </c>
      <c r="AL8" s="22"/>
      <c r="AM8" s="22"/>
      <c r="AN8" s="22"/>
      <c r="AO8" s="22"/>
      <c r="AP8" s="22"/>
      <c r="AQ8" s="22"/>
      <c r="AR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3"/>
    </row>
    <row r="9" spans="1:62" x14ac:dyDescent="0.2">
      <c r="H9">
        <v>2</v>
      </c>
      <c r="I9">
        <v>29</v>
      </c>
      <c r="J9">
        <v>2</v>
      </c>
      <c r="K9">
        <v>60</v>
      </c>
      <c r="L9" s="2">
        <f t="shared" si="0"/>
        <v>48.333333333333336</v>
      </c>
      <c r="M9" s="2">
        <f t="shared" si="1"/>
        <v>51.666666666666671</v>
      </c>
      <c r="N9" s="3">
        <v>0</v>
      </c>
      <c r="O9">
        <v>0</v>
      </c>
      <c r="P9" s="21">
        <f>AVERAGE(L8:L10)</f>
        <v>47.20749332596889</v>
      </c>
      <c r="Q9" s="21">
        <f>AVERAGE(M8:M10)</f>
        <v>48.808800515511372</v>
      </c>
      <c r="AL9" s="22"/>
      <c r="AM9" s="22"/>
      <c r="AN9" s="22"/>
      <c r="AO9" s="22"/>
      <c r="AP9" s="22"/>
      <c r="AQ9" s="22"/>
      <c r="AR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3"/>
    </row>
    <row r="10" spans="1:62" x14ac:dyDescent="0.2">
      <c r="H10">
        <v>3</v>
      </c>
      <c r="I10">
        <v>28</v>
      </c>
      <c r="J10">
        <v>1</v>
      </c>
      <c r="K10">
        <v>68</v>
      </c>
      <c r="L10" s="2">
        <f t="shared" si="0"/>
        <v>41.17647058823529</v>
      </c>
      <c r="M10" s="2">
        <f t="shared" si="1"/>
        <v>42.647058823529413</v>
      </c>
      <c r="N10" s="3">
        <v>4</v>
      </c>
      <c r="O10">
        <v>0</v>
      </c>
      <c r="AL10" s="22"/>
      <c r="AM10" s="22"/>
      <c r="AN10" s="22"/>
      <c r="AO10" s="22"/>
      <c r="AP10" s="22"/>
      <c r="AQ10" s="22"/>
      <c r="AR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3"/>
    </row>
    <row r="11" spans="1:62" x14ac:dyDescent="0.2">
      <c r="A11" t="s">
        <v>26</v>
      </c>
      <c r="B11" t="s">
        <v>27</v>
      </c>
      <c r="C11" t="s">
        <v>27</v>
      </c>
      <c r="D11" t="s">
        <v>28</v>
      </c>
      <c r="E11" t="s">
        <v>29</v>
      </c>
      <c r="F11" t="s">
        <v>30</v>
      </c>
      <c r="G11" t="s">
        <v>96</v>
      </c>
      <c r="H11">
        <v>1</v>
      </c>
      <c r="I11">
        <v>54</v>
      </c>
      <c r="J11">
        <v>2</v>
      </c>
      <c r="K11">
        <v>62</v>
      </c>
      <c r="L11" s="2">
        <f t="shared" si="0"/>
        <v>87.096774193548384</v>
      </c>
      <c r="M11" s="2">
        <f t="shared" si="1"/>
        <v>90.322580645161281</v>
      </c>
      <c r="N11" s="3">
        <v>0</v>
      </c>
      <c r="O11">
        <v>0</v>
      </c>
      <c r="R11" t="s">
        <v>98</v>
      </c>
      <c r="AL11" s="22"/>
      <c r="AM11" s="22"/>
      <c r="AN11" s="22"/>
      <c r="AO11" s="22"/>
      <c r="AP11" s="22"/>
      <c r="AQ11" s="22"/>
      <c r="AR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3"/>
    </row>
    <row r="12" spans="1:62" x14ac:dyDescent="0.2">
      <c r="H12">
        <v>2</v>
      </c>
      <c r="I12">
        <v>59</v>
      </c>
      <c r="J12">
        <v>2</v>
      </c>
      <c r="K12">
        <v>68</v>
      </c>
      <c r="L12" s="2">
        <f t="shared" si="0"/>
        <v>86.764705882352942</v>
      </c>
      <c r="M12" s="2">
        <f t="shared" si="1"/>
        <v>89.705882352941174</v>
      </c>
      <c r="N12" s="3">
        <v>0</v>
      </c>
      <c r="O12">
        <v>0</v>
      </c>
      <c r="P12" s="21">
        <f>AVERAGE(L11:L13)</f>
        <v>86.158954897095327</v>
      </c>
      <c r="Q12" s="21">
        <f>AVERAGE(M11:M13)</f>
        <v>88.855641512188001</v>
      </c>
      <c r="AL12" s="22"/>
      <c r="AM12" s="22"/>
      <c r="AN12" s="22"/>
      <c r="AO12" s="22"/>
      <c r="AP12" s="22"/>
      <c r="AQ12" s="22"/>
      <c r="AR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3"/>
    </row>
    <row r="13" spans="1:62" x14ac:dyDescent="0.2">
      <c r="H13">
        <v>3</v>
      </c>
      <c r="I13">
        <v>44</v>
      </c>
      <c r="J13">
        <v>1</v>
      </c>
      <c r="K13">
        <v>52</v>
      </c>
      <c r="L13" s="2">
        <f t="shared" si="0"/>
        <v>84.615384615384613</v>
      </c>
      <c r="M13" s="2">
        <f t="shared" si="1"/>
        <v>86.538461538461547</v>
      </c>
      <c r="N13" s="3">
        <v>0</v>
      </c>
      <c r="O13">
        <v>0</v>
      </c>
      <c r="R13" t="s">
        <v>99</v>
      </c>
      <c r="AL13" s="22"/>
      <c r="AM13" s="22"/>
      <c r="AN13" s="22"/>
      <c r="AO13" s="22"/>
      <c r="AP13" s="22"/>
      <c r="AQ13" s="22"/>
      <c r="AR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3"/>
    </row>
    <row r="14" spans="1:62" x14ac:dyDescent="0.2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36</v>
      </c>
      <c r="G14" t="s">
        <v>96</v>
      </c>
      <c r="H14">
        <v>1</v>
      </c>
      <c r="I14">
        <v>28</v>
      </c>
      <c r="J14">
        <v>12</v>
      </c>
      <c r="K14">
        <v>53</v>
      </c>
      <c r="L14" s="2">
        <f t="shared" si="0"/>
        <v>52.830188679245282</v>
      </c>
      <c r="M14" s="2">
        <f t="shared" si="1"/>
        <v>75.471698113207552</v>
      </c>
      <c r="N14" s="3">
        <v>0</v>
      </c>
      <c r="O14">
        <v>0</v>
      </c>
      <c r="R14" s="31" t="s">
        <v>100</v>
      </c>
      <c r="AL14" s="22"/>
      <c r="AM14" s="22"/>
      <c r="AN14" s="22"/>
      <c r="AO14" s="22"/>
      <c r="AP14" s="22"/>
      <c r="AQ14" s="22"/>
      <c r="AR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3"/>
    </row>
    <row r="15" spans="1:62" x14ac:dyDescent="0.2">
      <c r="H15">
        <v>2</v>
      </c>
      <c r="I15">
        <v>16</v>
      </c>
      <c r="J15">
        <v>10</v>
      </c>
      <c r="K15">
        <v>38</v>
      </c>
      <c r="L15" s="2">
        <f t="shared" si="0"/>
        <v>42.105263157894733</v>
      </c>
      <c r="M15" s="2">
        <f t="shared" si="1"/>
        <v>68.421052631578945</v>
      </c>
      <c r="N15" s="3">
        <v>0</v>
      </c>
      <c r="O15">
        <v>0</v>
      </c>
      <c r="P15" s="21">
        <f>AVERAGE(L14:L16)</f>
        <v>49.237743204972595</v>
      </c>
      <c r="Q15" s="21">
        <f>AVERAGE(M14:M16)</f>
        <v>73.890176174188085</v>
      </c>
      <c r="R15" t="s">
        <v>101</v>
      </c>
      <c r="AL15" s="22"/>
      <c r="AM15" s="22"/>
      <c r="AN15" s="22"/>
      <c r="AO15" s="22"/>
      <c r="AP15" s="22"/>
      <c r="AQ15" s="22"/>
      <c r="AR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3"/>
    </row>
    <row r="16" spans="1:62" x14ac:dyDescent="0.2">
      <c r="H16">
        <v>3</v>
      </c>
      <c r="I16">
        <v>19</v>
      </c>
      <c r="J16">
        <v>9</v>
      </c>
      <c r="K16">
        <v>36</v>
      </c>
      <c r="L16" s="2">
        <f t="shared" si="0"/>
        <v>52.777777777777779</v>
      </c>
      <c r="M16" s="2">
        <f t="shared" si="1"/>
        <v>77.777777777777786</v>
      </c>
      <c r="N16" s="3">
        <v>0</v>
      </c>
      <c r="O16">
        <v>4</v>
      </c>
      <c r="AL16" s="22"/>
      <c r="AM16" s="22"/>
      <c r="AN16" s="22"/>
      <c r="AO16" s="22"/>
      <c r="AP16" s="22"/>
      <c r="AQ16" s="22"/>
      <c r="AR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3"/>
    </row>
    <row r="17" spans="1:62" x14ac:dyDescent="0.2">
      <c r="A17" t="s">
        <v>38</v>
      </c>
      <c r="B17" t="s">
        <v>33</v>
      </c>
      <c r="C17" t="s">
        <v>39</v>
      </c>
      <c r="D17" t="s">
        <v>40</v>
      </c>
      <c r="E17" t="s">
        <v>41</v>
      </c>
      <c r="F17" t="s">
        <v>42</v>
      </c>
      <c r="G17" t="s">
        <v>102</v>
      </c>
      <c r="H17">
        <v>1</v>
      </c>
      <c r="I17">
        <v>10</v>
      </c>
      <c r="J17">
        <v>7</v>
      </c>
      <c r="K17">
        <v>30</v>
      </c>
      <c r="L17" s="2">
        <f t="shared" si="0"/>
        <v>33.333333333333329</v>
      </c>
      <c r="M17" s="2">
        <f t="shared" si="1"/>
        <v>56.666666666666664</v>
      </c>
      <c r="N17" s="3">
        <v>0</v>
      </c>
      <c r="O17">
        <v>0</v>
      </c>
      <c r="R17" t="s">
        <v>103</v>
      </c>
      <c r="AL17" s="22"/>
      <c r="AM17" s="22"/>
      <c r="AN17" s="22"/>
      <c r="AO17" s="22"/>
      <c r="AP17" s="22"/>
      <c r="AQ17" s="22"/>
      <c r="AR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3"/>
    </row>
    <row r="18" spans="1:62" x14ac:dyDescent="0.2">
      <c r="H18">
        <v>2</v>
      </c>
      <c r="I18">
        <v>14</v>
      </c>
      <c r="J18">
        <v>8</v>
      </c>
      <c r="K18">
        <v>43</v>
      </c>
      <c r="L18" s="2">
        <f t="shared" si="0"/>
        <v>32.558139534883722</v>
      </c>
      <c r="M18" s="2">
        <f t="shared" si="1"/>
        <v>51.162790697674424</v>
      </c>
      <c r="N18" s="3">
        <v>0</v>
      </c>
      <c r="O18">
        <v>3</v>
      </c>
      <c r="P18" s="21">
        <f>AVERAGE(L17:L19)</f>
        <v>35.297157622739014</v>
      </c>
      <c r="Q18" s="21">
        <f>AVERAGE(M17:M19)</f>
        <v>56.895533407161317</v>
      </c>
      <c r="AL18" s="22"/>
      <c r="AM18" s="22"/>
      <c r="AN18" s="22"/>
      <c r="AO18" s="22"/>
      <c r="AP18" s="22"/>
      <c r="AQ18" s="22"/>
      <c r="AR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3"/>
    </row>
    <row r="19" spans="1:62" x14ac:dyDescent="0.2">
      <c r="H19">
        <v>3</v>
      </c>
      <c r="I19">
        <v>14</v>
      </c>
      <c r="J19">
        <v>8</v>
      </c>
      <c r="K19">
        <v>35</v>
      </c>
      <c r="L19" s="2">
        <f t="shared" si="0"/>
        <v>40</v>
      </c>
      <c r="M19" s="2">
        <f t="shared" si="1"/>
        <v>62.857142857142854</v>
      </c>
      <c r="N19" s="3">
        <v>0</v>
      </c>
      <c r="O19">
        <v>2</v>
      </c>
      <c r="R19" t="s">
        <v>104</v>
      </c>
      <c r="AL19" s="22"/>
      <c r="AM19" s="22"/>
      <c r="AN19" s="22"/>
      <c r="AO19" s="22"/>
      <c r="AP19" s="22"/>
      <c r="AQ19" s="22"/>
      <c r="AR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3"/>
    </row>
    <row r="20" spans="1:62" x14ac:dyDescent="0.2">
      <c r="A20" t="s">
        <v>43</v>
      </c>
      <c r="B20" t="s">
        <v>44</v>
      </c>
      <c r="C20" t="s">
        <v>39</v>
      </c>
      <c r="D20" t="s">
        <v>45</v>
      </c>
      <c r="E20" t="s">
        <v>41</v>
      </c>
      <c r="F20" t="s">
        <v>46</v>
      </c>
      <c r="G20" t="s">
        <v>102</v>
      </c>
      <c r="H20">
        <v>1</v>
      </c>
      <c r="I20">
        <v>10</v>
      </c>
      <c r="J20">
        <v>5</v>
      </c>
      <c r="K20">
        <v>25</v>
      </c>
      <c r="L20" s="2">
        <f t="shared" si="0"/>
        <v>40</v>
      </c>
      <c r="M20" s="2">
        <f t="shared" si="1"/>
        <v>60</v>
      </c>
      <c r="N20" s="3">
        <v>0</v>
      </c>
      <c r="O20">
        <v>0</v>
      </c>
      <c r="R20" t="s">
        <v>105</v>
      </c>
      <c r="AL20" s="22"/>
      <c r="AM20" s="22"/>
      <c r="AN20" s="22"/>
      <c r="AO20" s="22"/>
      <c r="AP20" s="22"/>
      <c r="AQ20" s="22"/>
      <c r="AR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3"/>
    </row>
    <row r="21" spans="1:62" x14ac:dyDescent="0.2">
      <c r="H21">
        <v>2</v>
      </c>
      <c r="I21">
        <v>16</v>
      </c>
      <c r="J21">
        <v>1</v>
      </c>
      <c r="K21">
        <v>23</v>
      </c>
      <c r="L21" s="2">
        <f t="shared" si="0"/>
        <v>69.565217391304344</v>
      </c>
      <c r="M21" s="2">
        <f t="shared" si="1"/>
        <v>73.91304347826086</v>
      </c>
      <c r="N21" s="3">
        <v>0</v>
      </c>
      <c r="O21">
        <v>2</v>
      </c>
      <c r="P21" s="21">
        <f>AVERAGE(L20:L22)</f>
        <v>60.132850241545896</v>
      </c>
      <c r="Q21" s="21">
        <f>AVERAGE(M20:M22)</f>
        <v>73.804347826086953</v>
      </c>
      <c r="AL21" s="22"/>
      <c r="AM21" s="22"/>
      <c r="AN21" s="22"/>
      <c r="AO21" s="22"/>
      <c r="AP21" s="22"/>
      <c r="AQ21" s="22"/>
      <c r="AR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3"/>
    </row>
    <row r="22" spans="1:62" x14ac:dyDescent="0.2">
      <c r="H22">
        <v>3</v>
      </c>
      <c r="I22">
        <v>17</v>
      </c>
      <c r="J22">
        <v>4</v>
      </c>
      <c r="K22">
        <v>24</v>
      </c>
      <c r="L22" s="2">
        <f t="shared" si="0"/>
        <v>70.833333333333343</v>
      </c>
      <c r="M22" s="2">
        <f t="shared" si="1"/>
        <v>87.5</v>
      </c>
      <c r="N22" s="3">
        <v>0</v>
      </c>
      <c r="O22">
        <v>1</v>
      </c>
      <c r="AL22" s="22"/>
      <c r="AM22" s="22"/>
      <c r="AN22" s="22"/>
      <c r="AO22" s="22"/>
      <c r="AP22" s="22"/>
      <c r="AQ22" s="22"/>
      <c r="AR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3"/>
    </row>
    <row r="23" spans="1:62" x14ac:dyDescent="0.2">
      <c r="A23" t="s">
        <v>47</v>
      </c>
      <c r="B23" t="s">
        <v>48</v>
      </c>
      <c r="C23" t="s">
        <v>49</v>
      </c>
      <c r="D23" t="s">
        <v>50</v>
      </c>
      <c r="E23" t="s">
        <v>51</v>
      </c>
      <c r="F23" t="s">
        <v>52</v>
      </c>
      <c r="G23" t="s">
        <v>102</v>
      </c>
      <c r="H23">
        <v>1</v>
      </c>
      <c r="I23">
        <v>17</v>
      </c>
      <c r="J23">
        <v>3</v>
      </c>
      <c r="K23">
        <v>33</v>
      </c>
      <c r="L23" s="2">
        <f t="shared" si="0"/>
        <v>51.515151515151516</v>
      </c>
      <c r="M23" s="2">
        <f t="shared" si="1"/>
        <v>60.606060606060609</v>
      </c>
      <c r="N23" s="3">
        <v>0</v>
      </c>
      <c r="O23">
        <v>0</v>
      </c>
      <c r="R23" t="s">
        <v>98</v>
      </c>
      <c r="AL23" s="22"/>
      <c r="AM23" s="22"/>
      <c r="AN23" s="22"/>
      <c r="AO23" s="22"/>
      <c r="AP23" s="22"/>
      <c r="AQ23" s="22"/>
      <c r="AR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3"/>
    </row>
    <row r="24" spans="1:62" x14ac:dyDescent="0.2">
      <c r="H24">
        <v>2</v>
      </c>
      <c r="I24">
        <v>12</v>
      </c>
      <c r="J24">
        <v>4</v>
      </c>
      <c r="K24">
        <v>35</v>
      </c>
      <c r="L24" s="2">
        <f t="shared" si="0"/>
        <v>34.285714285714285</v>
      </c>
      <c r="M24" s="2">
        <f t="shared" si="1"/>
        <v>45.714285714285715</v>
      </c>
      <c r="N24" s="3">
        <v>0</v>
      </c>
      <c r="O24">
        <v>1</v>
      </c>
      <c r="P24" s="21">
        <f>AVERAGE(L23:L25)</f>
        <v>41.778583173932013</v>
      </c>
      <c r="Q24" s="21">
        <f>AVERAGE(M23:M25)</f>
        <v>51.719185207557302</v>
      </c>
      <c r="AL24" s="22"/>
      <c r="AM24" s="22"/>
      <c r="AN24" s="22"/>
      <c r="AO24" s="22"/>
      <c r="AP24" s="22"/>
      <c r="AQ24" s="22"/>
      <c r="AR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3"/>
    </row>
    <row r="25" spans="1:62" x14ac:dyDescent="0.2">
      <c r="H25">
        <v>3</v>
      </c>
      <c r="I25">
        <v>17</v>
      </c>
      <c r="J25">
        <v>4</v>
      </c>
      <c r="K25">
        <v>43</v>
      </c>
      <c r="L25" s="2">
        <f t="shared" si="0"/>
        <v>39.534883720930232</v>
      </c>
      <c r="M25" s="2">
        <f t="shared" si="1"/>
        <v>48.837209302325576</v>
      </c>
      <c r="N25" s="3">
        <v>0</v>
      </c>
      <c r="O25">
        <v>0</v>
      </c>
      <c r="AL25" s="22"/>
      <c r="AM25" s="22"/>
      <c r="AN25" s="22"/>
      <c r="AO25" s="22"/>
      <c r="AP25" s="22"/>
      <c r="AQ25" s="22"/>
      <c r="AR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3"/>
    </row>
    <row r="26" spans="1:62" x14ac:dyDescent="0.2">
      <c r="A26" t="s">
        <v>53</v>
      </c>
      <c r="B26" t="s">
        <v>54</v>
      </c>
      <c r="C26" t="s">
        <v>55</v>
      </c>
      <c r="D26" t="s">
        <v>56</v>
      </c>
      <c r="E26" t="s">
        <v>57</v>
      </c>
      <c r="F26" t="s">
        <v>58</v>
      </c>
      <c r="G26" t="s">
        <v>106</v>
      </c>
      <c r="H26">
        <v>1</v>
      </c>
      <c r="I26">
        <v>15</v>
      </c>
      <c r="J26">
        <v>2</v>
      </c>
      <c r="K26">
        <v>30</v>
      </c>
      <c r="L26" s="2">
        <f t="shared" si="0"/>
        <v>50</v>
      </c>
      <c r="M26" s="2">
        <f t="shared" si="1"/>
        <v>56.666666666666664</v>
      </c>
      <c r="N26" s="3">
        <v>4</v>
      </c>
      <c r="O26">
        <v>0</v>
      </c>
      <c r="R26" t="s">
        <v>107</v>
      </c>
      <c r="AL26" s="22"/>
      <c r="AM26" s="22"/>
      <c r="AN26" s="22"/>
      <c r="AO26" s="22"/>
      <c r="AP26" s="22"/>
      <c r="AQ26" s="22"/>
    </row>
    <row r="27" spans="1:62" x14ac:dyDescent="0.2">
      <c r="H27">
        <v>2</v>
      </c>
      <c r="I27">
        <v>15</v>
      </c>
      <c r="J27">
        <v>2</v>
      </c>
      <c r="K27">
        <v>29</v>
      </c>
      <c r="L27" s="2">
        <f t="shared" si="0"/>
        <v>51.724137931034484</v>
      </c>
      <c r="M27" s="2">
        <f t="shared" si="1"/>
        <v>58.620689655172406</v>
      </c>
      <c r="N27" s="3">
        <v>2</v>
      </c>
      <c r="O27">
        <v>1</v>
      </c>
      <c r="P27" s="21">
        <f>AVERAGE(L26:L28)</f>
        <v>52.955665024630541</v>
      </c>
      <c r="Q27" s="21">
        <f>AVERAGE(M26:M28)</f>
        <v>59.85769020251778</v>
      </c>
      <c r="R27" t="s">
        <v>108</v>
      </c>
      <c r="AL27" s="22"/>
      <c r="AM27" s="22"/>
      <c r="AN27" s="22"/>
      <c r="AO27" s="22"/>
      <c r="AP27" s="22"/>
      <c r="AQ27" s="22"/>
    </row>
    <row r="28" spans="1:62" x14ac:dyDescent="0.2">
      <c r="H28">
        <v>3</v>
      </c>
      <c r="I28">
        <v>24</v>
      </c>
      <c r="J28">
        <v>3</v>
      </c>
      <c r="K28">
        <v>42</v>
      </c>
      <c r="L28" s="2">
        <f t="shared" si="0"/>
        <v>57.142857142857139</v>
      </c>
      <c r="M28" s="2">
        <f t="shared" si="1"/>
        <v>64.285714285714292</v>
      </c>
      <c r="N28" s="3">
        <v>1</v>
      </c>
      <c r="O28">
        <v>1</v>
      </c>
      <c r="AL28" s="22"/>
      <c r="AM28" s="22"/>
      <c r="AN28" s="22"/>
      <c r="AO28" s="22"/>
      <c r="AP28" s="22"/>
      <c r="AQ28" s="22"/>
    </row>
    <row r="29" spans="1:62" x14ac:dyDescent="0.2">
      <c r="A29" t="s">
        <v>59</v>
      </c>
      <c r="B29" t="s">
        <v>49</v>
      </c>
      <c r="C29" t="s">
        <v>60</v>
      </c>
      <c r="D29" t="s">
        <v>61</v>
      </c>
      <c r="E29" t="s">
        <v>62</v>
      </c>
      <c r="F29" t="s">
        <v>63</v>
      </c>
      <c r="G29" t="s">
        <v>106</v>
      </c>
      <c r="H29">
        <v>1</v>
      </c>
      <c r="I29">
        <v>36</v>
      </c>
      <c r="J29">
        <v>2</v>
      </c>
      <c r="K29">
        <v>42</v>
      </c>
      <c r="L29" s="2">
        <f t="shared" si="0"/>
        <v>85.714285714285708</v>
      </c>
      <c r="M29" s="2">
        <f t="shared" si="1"/>
        <v>90.476190476190482</v>
      </c>
      <c r="N29" s="3">
        <v>2</v>
      </c>
      <c r="O29">
        <v>0</v>
      </c>
      <c r="R29" t="s">
        <v>109</v>
      </c>
      <c r="AL29" s="22"/>
      <c r="AM29" s="22"/>
      <c r="AN29" s="22"/>
      <c r="AO29" s="22"/>
      <c r="AP29" s="22"/>
      <c r="AQ29" s="22"/>
      <c r="AR29" s="21"/>
    </row>
    <row r="30" spans="1:62" x14ac:dyDescent="0.2">
      <c r="H30">
        <v>2</v>
      </c>
      <c r="I30">
        <v>46</v>
      </c>
      <c r="J30">
        <v>2</v>
      </c>
      <c r="K30">
        <v>58</v>
      </c>
      <c r="L30" s="2">
        <f t="shared" si="0"/>
        <v>79.310344827586206</v>
      </c>
      <c r="M30" s="2">
        <f t="shared" si="1"/>
        <v>82.758620689655174</v>
      </c>
      <c r="N30" s="3">
        <v>0</v>
      </c>
      <c r="O30">
        <v>0</v>
      </c>
      <c r="P30" s="21">
        <f>AVERAGE(L29:L31)</f>
        <v>83.213338385752181</v>
      </c>
      <c r="Q30" s="21">
        <f>AVERAGE(M29:M31)</f>
        <v>85.950065260410085</v>
      </c>
      <c r="R30" t="s">
        <v>110</v>
      </c>
      <c r="AL30" s="22"/>
      <c r="AM30" s="22"/>
      <c r="AN30" s="22"/>
      <c r="AO30" s="22"/>
      <c r="AP30" s="22"/>
      <c r="AQ30" s="22"/>
      <c r="AR30" s="21"/>
    </row>
    <row r="31" spans="1:62" x14ac:dyDescent="0.2">
      <c r="H31">
        <v>3</v>
      </c>
      <c r="I31">
        <v>44</v>
      </c>
      <c r="J31">
        <v>0</v>
      </c>
      <c r="K31">
        <v>52</v>
      </c>
      <c r="L31" s="2">
        <f t="shared" si="0"/>
        <v>84.615384615384613</v>
      </c>
      <c r="M31" s="2">
        <f t="shared" si="1"/>
        <v>84.615384615384613</v>
      </c>
      <c r="N31" s="3">
        <v>0</v>
      </c>
      <c r="O31">
        <v>0</v>
      </c>
      <c r="R31" t="s">
        <v>111</v>
      </c>
      <c r="AL31" s="22"/>
      <c r="AM31" s="22"/>
      <c r="AN31" s="22"/>
      <c r="AO31" s="22"/>
      <c r="AP31" s="22"/>
      <c r="AQ31" s="22"/>
      <c r="AR31" s="21"/>
    </row>
    <row r="32" spans="1:62" x14ac:dyDescent="0.2">
      <c r="A32" t="s">
        <v>64</v>
      </c>
      <c r="B32" t="s">
        <v>60</v>
      </c>
      <c r="C32" t="s">
        <v>49</v>
      </c>
      <c r="D32" t="s">
        <v>65</v>
      </c>
      <c r="E32" t="s">
        <v>51</v>
      </c>
      <c r="F32" t="s">
        <v>66</v>
      </c>
      <c r="G32" t="s">
        <v>106</v>
      </c>
      <c r="H32">
        <v>1</v>
      </c>
      <c r="I32" s="47">
        <v>22</v>
      </c>
      <c r="J32">
        <v>0</v>
      </c>
      <c r="K32">
        <v>30</v>
      </c>
      <c r="L32" s="2">
        <f t="shared" si="0"/>
        <v>73.333333333333329</v>
      </c>
      <c r="M32" s="48">
        <f t="shared" si="1"/>
        <v>73.333333333333329</v>
      </c>
      <c r="N32" s="49">
        <v>6</v>
      </c>
      <c r="O32">
        <v>0</v>
      </c>
      <c r="P32" s="47"/>
      <c r="Q32" s="47"/>
      <c r="R32" t="s">
        <v>112</v>
      </c>
    </row>
    <row r="33" spans="1:44" x14ac:dyDescent="0.2">
      <c r="C33" s="47"/>
      <c r="D33" s="47"/>
      <c r="E33" s="47"/>
      <c r="F33" s="47"/>
      <c r="G33" s="47"/>
      <c r="H33">
        <v>2</v>
      </c>
      <c r="I33" s="47">
        <v>16</v>
      </c>
      <c r="J33">
        <v>0</v>
      </c>
      <c r="K33">
        <v>25</v>
      </c>
      <c r="L33" s="2">
        <f t="shared" si="0"/>
        <v>64</v>
      </c>
      <c r="M33" s="48">
        <f t="shared" si="1"/>
        <v>64</v>
      </c>
      <c r="N33" s="49">
        <v>7</v>
      </c>
      <c r="O33">
        <v>0</v>
      </c>
      <c r="P33" s="21">
        <f>AVERAGE(L32:L34)</f>
        <v>69.307189542483655</v>
      </c>
      <c r="Q33" s="21">
        <f>AVERAGE(M32:M34)</f>
        <v>70.287581699346404</v>
      </c>
      <c r="R33" t="s">
        <v>113</v>
      </c>
    </row>
    <row r="34" spans="1:44" x14ac:dyDescent="0.2">
      <c r="C34" s="47"/>
      <c r="D34" s="47"/>
      <c r="E34" s="47"/>
      <c r="F34" s="47"/>
      <c r="G34" s="47"/>
      <c r="H34">
        <v>3</v>
      </c>
      <c r="I34" s="47">
        <v>24</v>
      </c>
      <c r="J34">
        <v>1</v>
      </c>
      <c r="K34">
        <v>34</v>
      </c>
      <c r="L34" s="2">
        <f t="shared" si="0"/>
        <v>70.588235294117652</v>
      </c>
      <c r="M34" s="48">
        <f t="shared" si="1"/>
        <v>73.529411764705884</v>
      </c>
      <c r="N34" s="49">
        <v>7</v>
      </c>
      <c r="O34">
        <v>0</v>
      </c>
      <c r="P34" s="47"/>
      <c r="Q34" s="47"/>
      <c r="R34" t="s">
        <v>114</v>
      </c>
    </row>
    <row r="35" spans="1:44" x14ac:dyDescent="0.2">
      <c r="A35" t="s">
        <v>69</v>
      </c>
      <c r="B35" t="s">
        <v>49</v>
      </c>
      <c r="C35" t="s">
        <v>21</v>
      </c>
      <c r="D35" t="s">
        <v>61</v>
      </c>
      <c r="E35" t="s">
        <v>23</v>
      </c>
      <c r="F35" t="s">
        <v>70</v>
      </c>
      <c r="G35" t="s">
        <v>115</v>
      </c>
      <c r="H35">
        <v>1</v>
      </c>
      <c r="I35" s="47">
        <v>3</v>
      </c>
      <c r="J35">
        <v>0</v>
      </c>
      <c r="K35">
        <v>47</v>
      </c>
      <c r="L35" s="2">
        <f t="shared" si="0"/>
        <v>6.3829787234042552</v>
      </c>
      <c r="M35" s="2">
        <f t="shared" si="1"/>
        <v>6.3829787234042552</v>
      </c>
      <c r="N35" s="3">
        <v>0</v>
      </c>
      <c r="O35">
        <v>0</v>
      </c>
      <c r="R35" t="s">
        <v>116</v>
      </c>
      <c r="AR35" s="21"/>
    </row>
    <row r="36" spans="1:44" x14ac:dyDescent="0.2">
      <c r="H36">
        <v>2</v>
      </c>
      <c r="I36" s="47">
        <v>7</v>
      </c>
      <c r="J36">
        <v>3</v>
      </c>
      <c r="K36">
        <v>50</v>
      </c>
      <c r="L36" s="2">
        <f t="shared" si="0"/>
        <v>14.000000000000002</v>
      </c>
      <c r="M36" s="2">
        <f t="shared" si="1"/>
        <v>20</v>
      </c>
      <c r="N36" s="3">
        <v>0</v>
      </c>
      <c r="O36">
        <v>0</v>
      </c>
      <c r="P36" s="21">
        <f>AVERAGE(L35:L37)</f>
        <v>8.0521878763548784</v>
      </c>
      <c r="Q36" s="21">
        <f>AVERAGE(M35:M37)</f>
        <v>11.310049511575004</v>
      </c>
      <c r="R36" t="s">
        <v>117</v>
      </c>
      <c r="AR36" s="21"/>
    </row>
    <row r="37" spans="1:44" x14ac:dyDescent="0.2">
      <c r="H37">
        <v>3</v>
      </c>
      <c r="I37" s="47">
        <v>2</v>
      </c>
      <c r="J37">
        <v>2</v>
      </c>
      <c r="K37">
        <v>53</v>
      </c>
      <c r="L37" s="2">
        <f t="shared" si="0"/>
        <v>3.7735849056603774</v>
      </c>
      <c r="M37" s="2">
        <f t="shared" si="1"/>
        <v>7.5471698113207548</v>
      </c>
      <c r="N37" s="3">
        <v>0</v>
      </c>
      <c r="O37">
        <v>2</v>
      </c>
      <c r="R37" t="s">
        <v>118</v>
      </c>
      <c r="AR37" s="21"/>
    </row>
    <row r="38" spans="1:44" x14ac:dyDescent="0.2">
      <c r="A38" t="s">
        <v>71</v>
      </c>
      <c r="B38" t="s">
        <v>55</v>
      </c>
      <c r="C38" t="s">
        <v>27</v>
      </c>
      <c r="D38" t="s">
        <v>72</v>
      </c>
      <c r="E38" t="s">
        <v>29</v>
      </c>
      <c r="F38" t="s">
        <v>73</v>
      </c>
      <c r="G38" t="s">
        <v>115</v>
      </c>
      <c r="H38">
        <v>1</v>
      </c>
      <c r="I38" s="47">
        <v>5</v>
      </c>
      <c r="J38">
        <v>8</v>
      </c>
      <c r="K38">
        <v>45</v>
      </c>
      <c r="L38" s="2">
        <f t="shared" si="0"/>
        <v>11.111111111111111</v>
      </c>
      <c r="M38" s="2">
        <f t="shared" si="1"/>
        <v>28.888888888888886</v>
      </c>
      <c r="N38" s="3">
        <v>0</v>
      </c>
      <c r="O38">
        <v>1</v>
      </c>
    </row>
    <row r="39" spans="1:44" x14ac:dyDescent="0.2">
      <c r="H39">
        <v>2</v>
      </c>
      <c r="I39" s="47">
        <v>4</v>
      </c>
      <c r="J39">
        <v>3</v>
      </c>
      <c r="K39">
        <v>30</v>
      </c>
      <c r="L39" s="2">
        <f t="shared" si="0"/>
        <v>13.333333333333334</v>
      </c>
      <c r="M39" s="2">
        <f t="shared" si="1"/>
        <v>23.333333333333332</v>
      </c>
      <c r="N39" s="3">
        <v>0</v>
      </c>
      <c r="O39">
        <v>3</v>
      </c>
      <c r="P39" s="21">
        <f>AVERAGE(L38:L40)</f>
        <v>10.712250712250713</v>
      </c>
      <c r="Q39" s="21">
        <f>AVERAGE(M38:M40)</f>
        <v>22.535612535612533</v>
      </c>
    </row>
    <row r="40" spans="1:44" x14ac:dyDescent="0.2">
      <c r="H40">
        <v>3</v>
      </c>
      <c r="I40" s="47">
        <v>3</v>
      </c>
      <c r="J40">
        <v>3</v>
      </c>
      <c r="K40">
        <v>39</v>
      </c>
      <c r="L40" s="2">
        <f t="shared" si="0"/>
        <v>7.6923076923076925</v>
      </c>
      <c r="M40" s="2">
        <f t="shared" si="1"/>
        <v>15.384615384615385</v>
      </c>
      <c r="N40" s="3">
        <v>0</v>
      </c>
      <c r="O40">
        <v>6</v>
      </c>
      <c r="R40" t="s">
        <v>119</v>
      </c>
    </row>
    <row r="41" spans="1:44" x14ac:dyDescent="0.2">
      <c r="A41" t="s">
        <v>74</v>
      </c>
      <c r="B41" t="s">
        <v>75</v>
      </c>
      <c r="C41" t="s">
        <v>33</v>
      </c>
      <c r="D41" t="s">
        <v>76</v>
      </c>
      <c r="E41" t="s">
        <v>35</v>
      </c>
      <c r="F41" t="s">
        <v>77</v>
      </c>
      <c r="G41" t="s">
        <v>115</v>
      </c>
      <c r="H41">
        <v>1</v>
      </c>
      <c r="I41" s="47">
        <v>7</v>
      </c>
      <c r="J41">
        <v>3</v>
      </c>
      <c r="K41">
        <v>82</v>
      </c>
      <c r="L41" s="2">
        <f t="shared" si="0"/>
        <v>8.536585365853659</v>
      </c>
      <c r="M41" s="2">
        <f t="shared" si="1"/>
        <v>12.195121951219512</v>
      </c>
      <c r="N41" s="3">
        <v>0</v>
      </c>
      <c r="O41">
        <v>0</v>
      </c>
      <c r="R41" t="s">
        <v>120</v>
      </c>
      <c r="AR41" s="21"/>
    </row>
    <row r="42" spans="1:44" x14ac:dyDescent="0.2">
      <c r="H42">
        <v>2</v>
      </c>
      <c r="I42" s="43">
        <v>3</v>
      </c>
      <c r="J42" s="43">
        <v>1</v>
      </c>
      <c r="K42">
        <v>69</v>
      </c>
      <c r="L42" s="2">
        <f t="shared" si="0"/>
        <v>4.3478260869565215</v>
      </c>
      <c r="M42" s="2">
        <f t="shared" si="1"/>
        <v>5.7971014492753623</v>
      </c>
      <c r="N42" s="3">
        <v>1</v>
      </c>
      <c r="O42">
        <v>1</v>
      </c>
      <c r="P42" s="21">
        <f>AVERAGE(L41:L43)</f>
        <v>7.8845474073469832</v>
      </c>
      <c r="Q42" s="21">
        <f>AVERAGE(M41:M43)</f>
        <v>10.612792415549574</v>
      </c>
      <c r="R42" t="s">
        <v>121</v>
      </c>
      <c r="AR42" s="21"/>
    </row>
    <row r="43" spans="1:44" x14ac:dyDescent="0.2">
      <c r="H43">
        <v>3</v>
      </c>
      <c r="I43" s="47">
        <v>7</v>
      </c>
      <c r="J43">
        <v>2</v>
      </c>
      <c r="K43">
        <v>65</v>
      </c>
      <c r="L43" s="2">
        <f t="shared" si="0"/>
        <v>10.76923076923077</v>
      </c>
      <c r="M43" s="2">
        <f t="shared" si="1"/>
        <v>13.846153846153847</v>
      </c>
      <c r="N43" s="3">
        <v>1</v>
      </c>
      <c r="O43">
        <v>6</v>
      </c>
      <c r="R43" t="s">
        <v>121</v>
      </c>
      <c r="AR43" s="21"/>
    </row>
    <row r="44" spans="1:44" x14ac:dyDescent="0.2">
      <c r="AR44" s="21"/>
    </row>
    <row r="45" spans="1:44" x14ac:dyDescent="0.2">
      <c r="AR45" s="21"/>
    </row>
    <row r="46" spans="1:44" x14ac:dyDescent="0.2">
      <c r="AR46" s="21"/>
    </row>
    <row r="47" spans="1:44" x14ac:dyDescent="0.2">
      <c r="AR47" s="21"/>
    </row>
    <row r="48" spans="1:44" x14ac:dyDescent="0.2">
      <c r="AR48" s="21"/>
    </row>
    <row r="49" spans="44:44" x14ac:dyDescent="0.2">
      <c r="AR49" s="21"/>
    </row>
    <row r="50" spans="44:44" x14ac:dyDescent="0.2">
      <c r="AR50" s="21"/>
    </row>
  </sheetData>
  <mergeCells count="1">
    <mergeCell ref="AU1:BJ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6.18.21 fertilization</vt:lpstr>
      <vt:lpstr>6.18.21 fertilization w degen</vt:lpstr>
      <vt:lpstr>6.18.21 fertilization revisit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M. Hollenbeck</dc:creator>
  <dc:description/>
  <cp:lastModifiedBy>GomezRangel, Kate</cp:lastModifiedBy>
  <cp:revision>2</cp:revision>
  <dcterms:created xsi:type="dcterms:W3CDTF">2021-06-22T18:13:25Z</dcterms:created>
  <dcterms:modified xsi:type="dcterms:W3CDTF">2025-11-17T17:09:25Z</dcterms:modified>
  <dc:language>en-US</dc:language>
</cp:coreProperties>
</file>